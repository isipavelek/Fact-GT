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06"/>
  <workbookPr/>
  <mc:AlternateContent xmlns:mc="http://schemas.openxmlformats.org/markup-compatibility/2006">
    <mc:Choice Requires="x15">
      <x15ac:absPath xmlns:x15ac="http://schemas.microsoft.com/office/spreadsheetml/2010/11/ac" url="D:\working\waccache\CP1PEPF0002DD0A\EXCELCNV\b4e909cc-c923-4d4d-9292-7d105671eb1d\"/>
    </mc:Choice>
  </mc:AlternateContent>
  <xr:revisionPtr revIDLastSave="0" documentId="8_{AFBB160D-4D9A-43F1-8818-17915393B0A5}" xr6:coauthVersionLast="47" xr6:coauthVersionMax="47" xr10:uidLastSave="{00000000-0000-0000-0000-000000000000}"/>
  <bookViews>
    <workbookView xWindow="-60" yWindow="-60" windowWidth="15480" windowHeight="11640" firstSheet="4" activeTab="4" xr2:uid="{00000000-000D-0000-FFFF-FFFF00000000}"/>
  </bookViews>
  <sheets>
    <sheet name="EEST N°1 G1" sheetId="1" r:id="rId1"/>
    <sheet name="EEST N°1 G2" sheetId="3" r:id="rId2"/>
    <sheet name="EEST N°4 G1" sheetId="5" r:id="rId3"/>
    <sheet name="EEST N°4 G2" sheetId="4" r:id="rId4"/>
    <sheet name="EEST N°4 G4" sheetId="9" r:id="rId5"/>
    <sheet name="EEST N°4 G3" sheetId="6" r:id="rId6"/>
    <sheet name="EEST N°" sheetId="2" r:id="rId7"/>
    <sheet name="Hoja2" sheetId="8" r:id="rId8"/>
  </sheets>
  <definedNames>
    <definedName name="_xlnm._FilterDatabase" localSheetId="6" hidden="1">'EEST N°'!$B$1:$AH$1</definedName>
    <definedName name="_xlnm._FilterDatabase" localSheetId="1" hidden="1">'EEST N°1 G2'!$A$1:$AH$1</definedName>
    <definedName name="_xlnm._FilterDatabase" localSheetId="2" hidden="1">'EEST N°4 G1'!$A$1:$AB$1</definedName>
    <definedName name="_xlnm._FilterDatabase" localSheetId="3" hidden="1">'EEST N°4 G2'!$A$1:$M$1</definedName>
    <definedName name="_xlnm._FilterDatabase" localSheetId="5" hidden="1">'EEST N°4 G3'!$A$1:$AH$1</definedName>
    <definedName name="_xlnm._FilterDatabase" localSheetId="4" hidden="1">'EEST N°4 G4'!$A$1:$AH$1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9" i="9" l="1"/>
  <c r="T18" i="9"/>
  <c r="T17" i="9"/>
  <c r="T16" i="9"/>
  <c r="T15" i="9"/>
  <c r="T14" i="9"/>
  <c r="T13" i="9"/>
  <c r="T12" i="9"/>
  <c r="T11" i="9"/>
  <c r="T10" i="9"/>
  <c r="T9" i="9"/>
  <c r="T8" i="9"/>
  <c r="T7" i="9"/>
  <c r="T6" i="9"/>
  <c r="T5" i="9"/>
  <c r="T4" i="9"/>
  <c r="T3" i="9"/>
  <c r="T2" i="9"/>
  <c r="T19" i="6"/>
  <c r="T18" i="6"/>
  <c r="T17" i="6"/>
  <c r="T16" i="6"/>
  <c r="T15" i="6"/>
  <c r="T14" i="6"/>
  <c r="T13" i="6"/>
  <c r="T12" i="6"/>
  <c r="T11" i="6"/>
  <c r="T10" i="6"/>
  <c r="T9" i="6"/>
  <c r="T8" i="6"/>
  <c r="T7" i="6"/>
  <c r="T6" i="6"/>
  <c r="T5" i="6"/>
  <c r="T4" i="6"/>
  <c r="T3" i="6"/>
  <c r="T2" i="6"/>
  <c r="BA14" i="3"/>
  <c r="BA13" i="3"/>
  <c r="BA12" i="3"/>
  <c r="BA11" i="3"/>
  <c r="BA10" i="3"/>
  <c r="BA9" i="3"/>
  <c r="BA8" i="3"/>
  <c r="BA7" i="3"/>
  <c r="BA6" i="3"/>
  <c r="BA5" i="3"/>
  <c r="BA4" i="3"/>
  <c r="BA3" i="3"/>
  <c r="BA2" i="3"/>
  <c r="N11" i="5"/>
  <c r="N18" i="5"/>
  <c r="N9" i="5"/>
  <c r="N10" i="5"/>
  <c r="N19" i="5"/>
  <c r="N3" i="5"/>
  <c r="N13" i="5"/>
  <c r="N8" i="5"/>
  <c r="N5" i="5"/>
  <c r="N14" i="5"/>
  <c r="N17" i="5"/>
  <c r="N4" i="5"/>
  <c r="N16" i="5"/>
  <c r="N2" i="5"/>
  <c r="N15" i="5"/>
  <c r="N6" i="5"/>
  <c r="N12" i="5"/>
  <c r="N7" i="5"/>
  <c r="N19" i="4"/>
  <c r="N18" i="4"/>
  <c r="N17" i="4"/>
  <c r="N16" i="4"/>
  <c r="N15" i="4"/>
  <c r="N14" i="4"/>
  <c r="N13" i="4"/>
  <c r="N12" i="4"/>
  <c r="N11" i="4"/>
  <c r="N10" i="4"/>
  <c r="N9" i="4"/>
  <c r="N8" i="4"/>
  <c r="N7" i="4"/>
  <c r="N6" i="4"/>
  <c r="N5" i="4"/>
  <c r="N4" i="4"/>
  <c r="N3" i="4"/>
  <c r="N2" i="4"/>
  <c r="T19" i="3"/>
  <c r="T18" i="3"/>
  <c r="T17" i="3"/>
  <c r="T16" i="3"/>
  <c r="T15" i="3"/>
  <c r="T14" i="3"/>
  <c r="T13" i="3"/>
  <c r="T12" i="3"/>
  <c r="T11" i="3"/>
  <c r="T10" i="3"/>
  <c r="T9" i="3"/>
  <c r="T8" i="3"/>
  <c r="T7" i="3"/>
  <c r="T6" i="3"/>
  <c r="T5" i="3"/>
  <c r="T4" i="3"/>
  <c r="T3" i="3"/>
  <c r="T2" i="3"/>
  <c r="T3" i="2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" i="2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tc={87D9C66C-ED50-48BB-A41D-5798A913C1BC}</author>
    <author>tc={B01DAD73-7421-4CDE-A175-09895CAD89E7}</author>
    <author>tc={07E07311-4533-46E1-93C3-3C6509CA01D3}</author>
  </authors>
  <commentList>
    <comment ref="O2" authorId="0" shapeId="0" xr:uid="{87D9C66C-ED50-48BB-A41D-5798A913C1BC}">
      <text>
        <t>[Threaded comment]
Your version of Excel allows you to read this threaded comment; however, any edits to it will get removed if the file is opened in a newer version of Excel. Learn more: https://go.microsoft.com/fwlink/?linkid=870924
Comment:
    Tuvo un accidente</t>
      </text>
    </comment>
    <comment ref="O9" authorId="1" shapeId="0" xr:uid="{B01DAD73-7421-4CDE-A175-09895CAD89E7}">
      <text>
        <t>[Threaded comment]
Your version of Excel allows you to read this threaded comment; however, any edits to it will get removed if the file is opened in a newer version of Excel. Learn more: https://go.microsoft.com/fwlink/?linkid=870924
Comment:
    Está descompuesto</t>
      </text>
    </comment>
    <comment ref="M15" authorId="2" shapeId="0" xr:uid="{07E07311-4533-46E1-93C3-3C6509CA01D3}">
      <text>
        <t>[Threaded comment]
Your version of Excel allows you to read this threaded comment; however, any edits to it will get removed if the file is opened in a newer version of Excel. Learn more: https://go.microsoft.com/fwlink/?linkid=870924
Comment:
    no pudo venir</t>
      </text>
    </comment>
  </commentList>
</comments>
</file>

<file path=xl/sharedStrings.xml><?xml version="1.0" encoding="utf-8"?>
<sst xmlns="http://schemas.openxmlformats.org/spreadsheetml/2006/main" count="1355" uniqueCount="229">
  <si>
    <t>ORDEN</t>
  </si>
  <si>
    <t>Escuela</t>
  </si>
  <si>
    <t>Turno</t>
  </si>
  <si>
    <t>CURSO 2026</t>
  </si>
  <si>
    <t>APELLIDO</t>
  </si>
  <si>
    <t>NOMBRE</t>
  </si>
  <si>
    <t>DNI</t>
  </si>
  <si>
    <t>Clase 1</t>
  </si>
  <si>
    <t>Clase 2</t>
  </si>
  <si>
    <t>Clase 3</t>
  </si>
  <si>
    <t>Clase 4</t>
  </si>
  <si>
    <t>Clase 5</t>
  </si>
  <si>
    <t>Clase 6</t>
  </si>
  <si>
    <t>Clase 7</t>
  </si>
  <si>
    <t>Clase 8</t>
  </si>
  <si>
    <t>Clase 9</t>
  </si>
  <si>
    <t>Clase 10</t>
  </si>
  <si>
    <t>Clase 11</t>
  </si>
  <si>
    <t>Clase 12</t>
  </si>
  <si>
    <t>ASISTENCIA (%)</t>
  </si>
  <si>
    <t>Column1</t>
  </si>
  <si>
    <t>MAPA Luca</t>
  </si>
  <si>
    <t>MAPA Alejo</t>
  </si>
  <si>
    <t>MAPA Fausto</t>
  </si>
  <si>
    <t>MAPA Ramiro</t>
  </si>
  <si>
    <t>Examen Neumátic</t>
  </si>
  <si>
    <t>Rec Neum</t>
  </si>
  <si>
    <t>Examen Electroneumática</t>
  </si>
  <si>
    <t>Rec Elctro</t>
  </si>
  <si>
    <t>Examen PLC</t>
  </si>
  <si>
    <t>Rec Plc</t>
  </si>
  <si>
    <t>Examen Práctico</t>
  </si>
  <si>
    <t>Rec práctico</t>
  </si>
  <si>
    <t>Fecha de cert</t>
  </si>
  <si>
    <t>Comentarios</t>
  </si>
  <si>
    <t>EEST N° 1 CNA</t>
  </si>
  <si>
    <t>Mañana</t>
  </si>
  <si>
    <t>6º1º</t>
  </si>
  <si>
    <t>Banchieri</t>
  </si>
  <si>
    <t>Santino</t>
  </si>
  <si>
    <t>p</t>
  </si>
  <si>
    <t>a</t>
  </si>
  <si>
    <t>Benitez</t>
  </si>
  <si>
    <t>Adrian</t>
  </si>
  <si>
    <t>recuperar practica</t>
  </si>
  <si>
    <t>Conti</t>
  </si>
  <si>
    <t>Jazmin</t>
  </si>
  <si>
    <t>Aprobado</t>
  </si>
  <si>
    <t>5º3º</t>
  </si>
  <si>
    <t>Galletti</t>
  </si>
  <si>
    <t>Lazaro</t>
  </si>
  <si>
    <t>Galvan Ortiz</t>
  </si>
  <si>
    <t>Axel Valentino</t>
  </si>
  <si>
    <t>5º1º</t>
  </si>
  <si>
    <t>Lavallena</t>
  </si>
  <si>
    <t>Belinda</t>
  </si>
  <si>
    <t>Leon Saavedra</t>
  </si>
  <si>
    <t>Juan Bautista</t>
  </si>
  <si>
    <t>Ocampo</t>
  </si>
  <si>
    <t>Lisandro Agustin</t>
  </si>
  <si>
    <t>Pascualin</t>
  </si>
  <si>
    <t>Benjamin</t>
  </si>
  <si>
    <t>Peruchena</t>
  </si>
  <si>
    <t>Santiago</t>
  </si>
  <si>
    <t>Porta Provera</t>
  </si>
  <si>
    <t>Zoe Lorena</t>
  </si>
  <si>
    <t>Pozzi</t>
  </si>
  <si>
    <t>Tomas</t>
  </si>
  <si>
    <t xml:space="preserve">Rapuzzi </t>
  </si>
  <si>
    <t>Jeronimo Benjamin</t>
  </si>
  <si>
    <t>Roldan</t>
  </si>
  <si>
    <t>Dylan</t>
  </si>
  <si>
    <t>Schmittlein Aranda</t>
  </si>
  <si>
    <t>Bautista</t>
  </si>
  <si>
    <t>Sosa</t>
  </si>
  <si>
    <t>Mateo</t>
  </si>
  <si>
    <t>Ybalo Furik</t>
  </si>
  <si>
    <t>Luana</t>
  </si>
  <si>
    <t>Zorn</t>
  </si>
  <si>
    <t>Mirko Lisandro</t>
  </si>
  <si>
    <t>Tarde</t>
  </si>
  <si>
    <t>Aranda</t>
  </si>
  <si>
    <t>Gabriel</t>
  </si>
  <si>
    <t>Fabre</t>
  </si>
  <si>
    <t>David</t>
  </si>
  <si>
    <t>Bianchi</t>
  </si>
  <si>
    <t>Ciro</t>
  </si>
  <si>
    <t>Firpo</t>
  </si>
  <si>
    <t>Nehemias Alesio</t>
  </si>
  <si>
    <t>Cruz</t>
  </si>
  <si>
    <t>Máximo</t>
  </si>
  <si>
    <t>Heikele</t>
  </si>
  <si>
    <t>Jeremias Nahuel</t>
  </si>
  <si>
    <t>Curzio</t>
  </si>
  <si>
    <t>Roman</t>
  </si>
  <si>
    <t>Herrera</t>
  </si>
  <si>
    <t>Ciro Amir</t>
  </si>
  <si>
    <t>5º2º</t>
  </si>
  <si>
    <t>Lombardo</t>
  </si>
  <si>
    <t xml:space="preserve">Santino </t>
  </si>
  <si>
    <t>6º2º</t>
  </si>
  <si>
    <t>Mariño</t>
  </si>
  <si>
    <t>Laureano Daniel</t>
  </si>
  <si>
    <t>Morard Conforti</t>
  </si>
  <si>
    <t>Leon</t>
  </si>
  <si>
    <t>Osorio Chesini</t>
  </si>
  <si>
    <t>Thiago</t>
  </si>
  <si>
    <t>Pianetti</t>
  </si>
  <si>
    <t>Camila Aylen</t>
  </si>
  <si>
    <t>Rivas</t>
  </si>
  <si>
    <t>Valentino</t>
  </si>
  <si>
    <t>Rocha Duarte</t>
  </si>
  <si>
    <t>Roman Catriel</t>
  </si>
  <si>
    <t>Rojas</t>
  </si>
  <si>
    <t>Facundo Daniel</t>
  </si>
  <si>
    <t>Sanchez</t>
  </si>
  <si>
    <t>Delfina</t>
  </si>
  <si>
    <t>aprobado</t>
  </si>
  <si>
    <t xml:space="preserve"> </t>
  </si>
  <si>
    <t>Sanchez Gonzalez</t>
  </si>
  <si>
    <t>Sharon Edith</t>
  </si>
  <si>
    <t>Armoa Hurtado</t>
  </si>
  <si>
    <t>Thiago Daniel</t>
  </si>
  <si>
    <t>Berbo</t>
  </si>
  <si>
    <t>Bautista Ariel</t>
  </si>
  <si>
    <t>Borda</t>
  </si>
  <si>
    <t>Jazmin Adeline</t>
  </si>
  <si>
    <t>Buendia Olmos</t>
  </si>
  <si>
    <t>Antonella</t>
  </si>
  <si>
    <t>Castro</t>
  </si>
  <si>
    <t>Benjami­n</t>
  </si>
  <si>
    <t>Dotti Bodeman</t>
  </si>
  <si>
    <t>Ramiro Emmanuel</t>
  </si>
  <si>
    <t>Gauna</t>
  </si>
  <si>
    <t>Luis Valentino</t>
  </si>
  <si>
    <t>Godoy</t>
  </si>
  <si>
    <t>Danilo Ezequiel</t>
  </si>
  <si>
    <t>x</t>
  </si>
  <si>
    <t>Gómez Miño</t>
  </si>
  <si>
    <t>Joaquín</t>
  </si>
  <si>
    <t>Jvillalba</t>
  </si>
  <si>
    <t>Maidana</t>
  </si>
  <si>
    <t>Facundo Agustin</t>
  </si>
  <si>
    <t>Martínez</t>
  </si>
  <si>
    <t>Benicio</t>
  </si>
  <si>
    <t>Perez</t>
  </si>
  <si>
    <t>Tiziano Emanuel</t>
  </si>
  <si>
    <t>Ramirez</t>
  </si>
  <si>
    <t>Felipe</t>
  </si>
  <si>
    <t>Riemersma</t>
  </si>
  <si>
    <t>Alejo Matias</t>
  </si>
  <si>
    <t>Saitiun</t>
  </si>
  <si>
    <t>Narela</t>
  </si>
  <si>
    <t>Spirito</t>
  </si>
  <si>
    <t>Francisco</t>
  </si>
  <si>
    <t>Tapia</t>
  </si>
  <si>
    <t>Santiago Miguel</t>
  </si>
  <si>
    <t>EEST N°4</t>
  </si>
  <si>
    <t>Buet</t>
  </si>
  <si>
    <t>Joaquín Matias</t>
  </si>
  <si>
    <t>Ghiglione</t>
  </si>
  <si>
    <t>Lautaro Martin</t>
  </si>
  <si>
    <t>Campazzo</t>
  </si>
  <si>
    <t>Bruno Benjami­n</t>
  </si>
  <si>
    <t>Ceballos</t>
  </si>
  <si>
    <t>Ramírez</t>
  </si>
  <si>
    <t>Fausto</t>
  </si>
  <si>
    <t>Yugneivich</t>
  </si>
  <si>
    <t>Elías</t>
  </si>
  <si>
    <t>Sal</t>
  </si>
  <si>
    <t>Ludmila</t>
  </si>
  <si>
    <t>Desaprobado</t>
  </si>
  <si>
    <t>Urouro Galop</t>
  </si>
  <si>
    <t>Tomás Martín</t>
  </si>
  <si>
    <t>Perrota</t>
  </si>
  <si>
    <t>Roque Valentin</t>
  </si>
  <si>
    <t>Canteros</t>
  </si>
  <si>
    <t>Selene</t>
  </si>
  <si>
    <t>Miers</t>
  </si>
  <si>
    <t>Agustin Andres</t>
  </si>
  <si>
    <t>Milivinti</t>
  </si>
  <si>
    <t>Cabassi</t>
  </si>
  <si>
    <t>Nicolas Andres</t>
  </si>
  <si>
    <t>Acosta</t>
  </si>
  <si>
    <t>Duarte</t>
  </si>
  <si>
    <t>Thiago Agustin</t>
  </si>
  <si>
    <t>Zapata</t>
  </si>
  <si>
    <t>Benjamin Nicanor</t>
  </si>
  <si>
    <t>Jimichtz</t>
  </si>
  <si>
    <t xml:space="preserve">Dionel Agustin </t>
  </si>
  <si>
    <t>Santino Horacio Actis</t>
  </si>
  <si>
    <t>Atento y participa</t>
  </si>
  <si>
    <t>Bautista Danil</t>
  </si>
  <si>
    <t>Benjamín Emanuel Ibarra</t>
  </si>
  <si>
    <t xml:space="preserve">
Sofia Mindurry</t>
  </si>
  <si>
    <t>Francisco Hugo Thomas Girard</t>
  </si>
  <si>
    <t xml:space="preserve">
Kevin Omar Salomon</t>
  </si>
  <si>
    <t xml:space="preserve">
Franco Martin Aleman</t>
  </si>
  <si>
    <t>Marisol Leylén Figueroa Miranda</t>
  </si>
  <si>
    <t>Alan Joel Castro</t>
  </si>
  <si>
    <t>Santiago Jeremias Gomez</t>
  </si>
  <si>
    <t>Brian Agustinez</t>
  </si>
  <si>
    <t>Fausto Migueles</t>
  </si>
  <si>
    <t>Mateo Scarpa</t>
  </si>
  <si>
    <t>Federico Nieto</t>
  </si>
  <si>
    <t>Nicolás Alexis Garcete Sandoval</t>
  </si>
  <si>
    <t>Thiago Lautaro Cilleros</t>
  </si>
  <si>
    <t xml:space="preserve">
Lucas Yamil Flores</t>
  </si>
  <si>
    <t>Alex Zuttion</t>
  </si>
  <si>
    <t>Cifuentes Dylan Agustín</t>
  </si>
  <si>
    <t>Escobar Bautista Benjamín</t>
  </si>
  <si>
    <t>Nicolas Meoniz</t>
  </si>
  <si>
    <t>Iara Belen Herrera</t>
  </si>
  <si>
    <t>REVISAR</t>
  </si>
  <si>
    <t>Mateo Guillermo Sanchez Iviglia</t>
  </si>
  <si>
    <t>Luz Malena Jazmin Di Pascuale</t>
  </si>
  <si>
    <t>Maximo Airala</t>
  </si>
  <si>
    <t>Mateo Benjamin Castellano</t>
  </si>
  <si>
    <t>NO LO ENCONTRE</t>
  </si>
  <si>
    <t>Gimenez Morena Agustina</t>
  </si>
  <si>
    <t>Ivan David Rizzo Nores</t>
  </si>
  <si>
    <t>Santiago Joaquin Salazar</t>
  </si>
  <si>
    <t>Virgilio Malena</t>
  </si>
  <si>
    <t xml:space="preserve">
Ulises Clausen</t>
  </si>
  <si>
    <t>Joaquin Mendez</t>
  </si>
  <si>
    <t>Bautista Riquel</t>
  </si>
  <si>
    <t>Juan Pablo David Zalazar</t>
  </si>
  <si>
    <t>Santillán Abril</t>
  </si>
  <si>
    <t>Constantini Alejo Valentín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</si>
</sst>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b/>
      <sz val="12"/>
      <color theme="1"/>
      <name val="Calibri Light"/>
      <family val="2"/>
      <scheme val="major"/>
    </font>
    <font>
      <b/>
      <sz val="12"/>
      <color theme="0"/>
      <name val="Calibri Light"/>
      <family val="2"/>
      <scheme val="major"/>
    </font>
    <font>
      <b/>
      <sz val="12"/>
      <color rgb="FFFFFFFF"/>
      <name val="Calibri Light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theme="1"/>
        <bgColor theme="1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indexed="64"/>
      </right>
      <top/>
      <bottom style="thin">
        <color theme="1"/>
      </bottom>
      <diagonal/>
    </border>
    <border>
      <left/>
      <right style="medium">
        <color indexed="64"/>
      </right>
      <top style="thin">
        <color theme="1"/>
      </top>
      <bottom/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thin">
        <color theme="1"/>
      </bottom>
      <diagonal/>
    </border>
    <border>
      <left/>
      <right style="medium">
        <color indexed="64"/>
      </right>
      <top style="medium">
        <color rgb="FF000000"/>
      </top>
      <bottom style="thin">
        <color theme="1"/>
      </bottom>
      <diagonal/>
    </border>
    <border>
      <left/>
      <right/>
      <top style="medium">
        <color rgb="FF000000"/>
      </top>
      <bottom style="thin">
        <color theme="1"/>
      </bottom>
      <diagonal/>
    </border>
    <border>
      <left/>
      <right style="medium">
        <color rgb="FF000000"/>
      </right>
      <top style="medium">
        <color rgb="FF000000"/>
      </top>
      <bottom style="thin">
        <color theme="1"/>
      </bottom>
      <diagonal/>
    </border>
    <border>
      <left style="medium">
        <color rgb="FF000000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/>
      <right style="medium">
        <color rgb="FF000000"/>
      </right>
      <top/>
      <bottom style="thin">
        <color theme="1"/>
      </bottom>
      <diagonal/>
    </border>
    <border>
      <left style="medium">
        <color rgb="FF000000"/>
      </left>
      <right style="medium">
        <color indexed="64"/>
      </right>
      <top style="thin">
        <color theme="1"/>
      </top>
      <bottom style="medium">
        <color rgb="FF000000"/>
      </bottom>
      <diagonal/>
    </border>
    <border>
      <left/>
      <right style="medium">
        <color indexed="64"/>
      </right>
      <top style="thin">
        <color theme="1"/>
      </top>
      <bottom style="medium">
        <color rgb="FF000000"/>
      </bottom>
      <diagonal/>
    </border>
    <border>
      <left/>
      <right/>
      <top style="thin">
        <color theme="1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theme="1"/>
      </bottom>
      <diagonal/>
    </border>
    <border>
      <left style="medium">
        <color rgb="FF000000"/>
      </left>
      <right style="medium">
        <color rgb="FF000000"/>
      </right>
      <top style="thin">
        <color theme="1"/>
      </top>
      <bottom style="thin">
        <color theme="1"/>
      </bottom>
      <diagonal/>
    </border>
    <border>
      <left style="medium">
        <color rgb="FF000000"/>
      </left>
      <right style="medium">
        <color rgb="FF000000"/>
      </right>
      <top style="thin">
        <color theme="1"/>
      </top>
      <bottom style="medium">
        <color rgb="FF000000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thin">
        <color theme="1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3" fontId="1" fillId="2" borderId="3" xfId="0" applyNumberFormat="1" applyFont="1" applyFill="1" applyBorder="1" applyAlignment="1">
      <alignment horizontal="center"/>
    </xf>
    <xf numFmtId="0" fontId="2" fillId="0" borderId="4" xfId="0" applyFont="1" applyBorder="1" applyAlignment="1">
      <alignment horizontal="center" vertical="center" wrapText="1"/>
    </xf>
    <xf numFmtId="3" fontId="1" fillId="2" borderId="5" xfId="0" applyNumberFormat="1" applyFont="1" applyFill="1" applyBorder="1" applyAlignment="1">
      <alignment horizontal="center"/>
    </xf>
    <xf numFmtId="9" fontId="1" fillId="2" borderId="9" xfId="0" applyNumberFormat="1" applyFont="1" applyFill="1" applyBorder="1" applyAlignment="1">
      <alignment horizontal="center"/>
    </xf>
    <xf numFmtId="9" fontId="1" fillId="2" borderId="3" xfId="0" applyNumberFormat="1" applyFont="1" applyFill="1" applyBorder="1" applyAlignment="1">
      <alignment horizontal="center"/>
    </xf>
    <xf numFmtId="9" fontId="1" fillId="2" borderId="10" xfId="0" applyNumberFormat="1" applyFont="1" applyFill="1" applyBorder="1" applyAlignment="1">
      <alignment horizontal="center"/>
    </xf>
    <xf numFmtId="9" fontId="0" fillId="0" borderId="6" xfId="0" applyNumberFormat="1" applyBorder="1" applyAlignment="1">
      <alignment horizontal="center" vertical="center"/>
    </xf>
    <xf numFmtId="9" fontId="0" fillId="0" borderId="7" xfId="0" applyNumberFormat="1" applyBorder="1" applyAlignment="1">
      <alignment horizontal="center" vertical="center"/>
    </xf>
    <xf numFmtId="9" fontId="0" fillId="0" borderId="8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3" fontId="1" fillId="2" borderId="9" xfId="0" applyNumberFormat="1" applyFont="1" applyFill="1" applyBorder="1" applyAlignment="1">
      <alignment horizontal="center"/>
    </xf>
    <xf numFmtId="3" fontId="1" fillId="2" borderId="10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3" fontId="1" fillId="2" borderId="11" xfId="0" applyNumberFormat="1" applyFont="1" applyFill="1" applyBorder="1" applyAlignment="1">
      <alignment horizontal="center"/>
    </xf>
    <xf numFmtId="3" fontId="1" fillId="2" borderId="12" xfId="0" applyNumberFormat="1" applyFont="1" applyFill="1" applyBorder="1" applyAlignment="1">
      <alignment horizontal="center"/>
    </xf>
    <xf numFmtId="3" fontId="1" fillId="2" borderId="13" xfId="0" applyNumberFormat="1" applyFont="1" applyFill="1" applyBorder="1" applyAlignment="1">
      <alignment horizontal="center"/>
    </xf>
    <xf numFmtId="9" fontId="1" fillId="2" borderId="14" xfId="0" applyNumberFormat="1" applyFont="1" applyFill="1" applyBorder="1" applyAlignment="1">
      <alignment horizontal="center"/>
    </xf>
    <xf numFmtId="3" fontId="1" fillId="2" borderId="15" xfId="0" applyNumberFormat="1" applyFont="1" applyFill="1" applyBorder="1" applyAlignment="1">
      <alignment horizontal="center"/>
    </xf>
    <xf numFmtId="9" fontId="1" fillId="2" borderId="16" xfId="0" applyNumberFormat="1" applyFont="1" applyFill="1" applyBorder="1" applyAlignment="1">
      <alignment horizontal="center"/>
    </xf>
    <xf numFmtId="3" fontId="1" fillId="2" borderId="17" xfId="0" applyNumberFormat="1" applyFont="1" applyFill="1" applyBorder="1" applyAlignment="1">
      <alignment horizontal="center"/>
    </xf>
    <xf numFmtId="3" fontId="1" fillId="2" borderId="18" xfId="0" applyNumberFormat="1" applyFont="1" applyFill="1" applyBorder="1" applyAlignment="1">
      <alignment horizontal="center"/>
    </xf>
    <xf numFmtId="3" fontId="1" fillId="2" borderId="19" xfId="0" applyNumberFormat="1" applyFont="1" applyFill="1" applyBorder="1" applyAlignment="1">
      <alignment horizontal="center"/>
    </xf>
    <xf numFmtId="9" fontId="1" fillId="2" borderId="20" xfId="0" applyNumberFormat="1" applyFont="1" applyFill="1" applyBorder="1" applyAlignment="1">
      <alignment horizontal="center"/>
    </xf>
    <xf numFmtId="3" fontId="1" fillId="2" borderId="21" xfId="0" applyNumberFormat="1" applyFont="1" applyFill="1" applyBorder="1" applyAlignment="1">
      <alignment horizontal="center"/>
    </xf>
    <xf numFmtId="3" fontId="1" fillId="2" borderId="22" xfId="0" applyNumberFormat="1" applyFont="1" applyFill="1" applyBorder="1" applyAlignment="1">
      <alignment horizontal="center"/>
    </xf>
    <xf numFmtId="3" fontId="1" fillId="2" borderId="23" xfId="0" applyNumberFormat="1" applyFont="1" applyFill="1" applyBorder="1" applyAlignment="1">
      <alignment horizontal="center"/>
    </xf>
    <xf numFmtId="0" fontId="4" fillId="4" borderId="24" xfId="0" applyFont="1" applyFill="1" applyBorder="1" applyAlignment="1">
      <alignment wrapText="1"/>
    </xf>
    <xf numFmtId="0" fontId="4" fillId="4" borderId="0" xfId="0" applyFont="1" applyFill="1" applyAlignment="1">
      <alignment wrapText="1"/>
    </xf>
    <xf numFmtId="0" fontId="3" fillId="5" borderId="25" xfId="0" applyFont="1" applyFill="1" applyBorder="1" applyAlignment="1">
      <alignment horizontal="center" vertical="center" wrapText="1"/>
    </xf>
    <xf numFmtId="3" fontId="1" fillId="2" borderId="7" xfId="0" applyNumberFormat="1" applyFont="1" applyFill="1" applyBorder="1" applyAlignment="1">
      <alignment horizontal="center" vertical="center"/>
    </xf>
    <xf numFmtId="3" fontId="1" fillId="2" borderId="26" xfId="0" applyNumberFormat="1" applyFont="1" applyFill="1" applyBorder="1" applyAlignment="1">
      <alignment horizontal="center" vertical="center"/>
    </xf>
    <xf numFmtId="3" fontId="1" fillId="2" borderId="22" xfId="0" applyNumberFormat="1" applyFont="1" applyFill="1" applyBorder="1" applyAlignment="1">
      <alignment horizontal="center" vertical="center"/>
    </xf>
    <xf numFmtId="3" fontId="1" fillId="2" borderId="23" xfId="0" applyNumberFormat="1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</cellXfs>
  <cellStyles count="1">
    <cellStyle name="Normal" xfId="0" builtinId="0"/>
  </cellStyles>
  <dxfs count="3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medium">
          <color indexed="64"/>
        </right>
        <top/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medium">
          <color indexed="64"/>
        </right>
        <top/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medium">
          <color indexed="64"/>
        </right>
        <top/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medium">
          <color indexed="64"/>
        </right>
        <top/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medium">
          <color indexed="64"/>
        </right>
        <top/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medium">
          <color indexed="64"/>
        </right>
        <top/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medium">
          <color indexed="64"/>
        </right>
        <top/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medium">
          <color indexed="64"/>
        </right>
        <top/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medium">
          <color indexed="64"/>
        </right>
        <top/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medium">
          <color indexed="64"/>
        </right>
        <top/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medium">
          <color indexed="64"/>
        </right>
        <top/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medium">
          <color indexed="64"/>
        </right>
        <top/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medium">
          <color indexed="64"/>
        </right>
        <top/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medium">
          <color indexed="64"/>
        </right>
        <top/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medium">
          <color indexed="64"/>
        </right>
        <top style="thin">
          <color theme="1"/>
        </top>
        <bottom style="thin">
          <color theme="1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3" formatCode="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medium">
          <color indexed="64"/>
        </right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medium">
          <color indexed="64"/>
        </right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medium">
          <color indexed="64"/>
        </right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medium">
          <color indexed="64"/>
        </right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medium">
          <color indexed="64"/>
        </right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medium">
          <color indexed="64"/>
        </right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medium">
          <color indexed="64"/>
        </right>
        <top style="thin">
          <color theme="1"/>
        </top>
        <bottom style="thin">
          <color theme="1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medium">
          <color indexed="64"/>
        </right>
        <top style="thin">
          <color theme="1"/>
        </top>
        <bottom style="thin">
          <color theme="1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medium">
          <color indexed="64"/>
        </right>
        <top style="thin">
          <color theme="1"/>
        </top>
        <bottom style="thin">
          <color theme="1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medium">
          <color indexed="64"/>
        </right>
        <top style="thin">
          <color theme="1"/>
        </top>
        <bottom style="thin">
          <color theme="1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medium">
          <color indexed="64"/>
        </right>
        <top style="thin">
          <color theme="1"/>
        </top>
        <bottom style="thin">
          <color theme="1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medium">
          <color indexed="64"/>
        </right>
        <top style="thin">
          <color theme="1"/>
        </top>
        <bottom style="thin">
          <color theme="1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medium">
          <color indexed="64"/>
        </right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medium">
          <color indexed="64"/>
        </right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medium">
          <color indexed="64"/>
        </right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medium">
          <color indexed="64"/>
        </right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medium">
          <color indexed="64"/>
        </right>
        <top style="thin">
          <color theme="1"/>
        </top>
        <bottom style="thin">
          <color theme="1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medium">
          <color indexed="64"/>
        </right>
        <top style="thin">
          <color theme="1"/>
        </top>
        <bottom style="thin">
          <color theme="1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medium">
          <color indexed="64"/>
        </right>
        <top style="thin">
          <color theme="1"/>
        </top>
        <bottom style="thin">
          <color theme="1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medium">
          <color indexed="64"/>
        </right>
        <top style="thin">
          <color theme="1"/>
        </top>
        <bottom style="thin">
          <color theme="1"/>
        </bottom>
        <vertical/>
        <horizontal/>
      </border>
    </dxf>
    <dxf>
      <border outline="0">
        <bottom style="medium">
          <color indexed="64"/>
        </bottom>
      </border>
    </dxf>
    <dxf>
      <border outline="0">
        <right style="medium">
          <color indexed="64"/>
        </right>
        <top style="medium">
          <color indexed="64"/>
        </top>
      </border>
    </dxf>
    <dxf>
      <font>
        <strike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Guest User" id="{D56E859D-94DE-4E43-B8B0-0F352945650F}" userId="S::urn:spo:tenantanon#7fbd5f50-0c50-45a8-9a6e-67f7ad0e50c0::" providerId="AD"/>
  <person displayName="Luca Melidore" id="{2FA8E69A-A345-446E-A556-8D1C5FF05EBA}" userId="S::lmelidore@etrr.edu.ar::66a688f4-9314-4123-8e4b-b46eafe76aed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BD2EF1-3068-42DC-8780-7C1351BC3235}" name="Table1" displayName="Table1" ref="A1:AI19" totalsRowShown="0" headerRowDxfId="38" dataDxfId="37" headerRowBorderDxfId="35" tableBorderDxfId="36">
  <autoFilter ref="A1:AI19" xr:uid="{4CBD2EF1-3068-42DC-8780-7C1351BC3235}"/>
  <tableColumns count="35">
    <tableColumn id="2" xr3:uid="{A372E536-4E05-45E7-B9AE-85912615169A}" name="ORDEN" dataDxfId="34"/>
    <tableColumn id="7" xr3:uid="{18DE4D8C-A6FD-49C0-9959-68B0644C4B01}" name="Escuela" dataDxfId="33"/>
    <tableColumn id="1" xr3:uid="{C7AE6D6F-3B71-4DE1-A768-63339A919872}" name="Turno" dataDxfId="32"/>
    <tableColumn id="3" xr3:uid="{7ED5C6D5-474D-4CAB-8243-FC8B790AF68F}" name="CURSO 2026" dataDxfId="31"/>
    <tableColumn id="4" xr3:uid="{9045A0BA-584A-4083-86E2-1DEC4B5E704F}" name="APELLIDO" dataDxfId="30"/>
    <tableColumn id="5" xr3:uid="{3645E7D5-4B8E-461D-B2D4-89DA417B140E}" name="NOMBRE" dataDxfId="29"/>
    <tableColumn id="6" xr3:uid="{5A78D1A6-C292-4E1D-B864-D6B565368009}" name="DNI" dataDxfId="28"/>
    <tableColumn id="8" xr3:uid="{E4A9C507-0990-447D-9F5F-13AE30598BEE}" name="Clase 1" dataDxfId="27"/>
    <tableColumn id="9" xr3:uid="{2D795A81-00E5-48CE-AD0C-0FCF6B079211}" name="Clase 2" dataDxfId="26"/>
    <tableColumn id="10" xr3:uid="{551E719F-5E16-4847-8F58-09D00E1D1AAF}" name="Clase 3" dataDxfId="25"/>
    <tableColumn id="11" xr3:uid="{E4ABD1EB-B641-4671-A3CC-E7D7A974F8B2}" name="Clase 4" dataDxfId="24"/>
    <tableColumn id="12" xr3:uid="{94317E79-F727-41DF-8B35-4838C3A22442}" name="Clase 5" dataDxfId="23"/>
    <tableColumn id="13" xr3:uid="{1DCD7100-9FF1-4068-9B7B-6F5D4C4F394A}" name="Clase 6" dataDxfId="22"/>
    <tableColumn id="15" xr3:uid="{BB9F5BBE-BAAB-4999-98AB-06266020E416}" name="Clase 7" dataDxfId="21"/>
    <tableColumn id="16" xr3:uid="{830600E4-4925-433D-8B54-D4CD328CC51E}" name="Clase 8" dataDxfId="20"/>
    <tableColumn id="17" xr3:uid="{A2173CD8-3C5E-486B-A04D-F9222271DF92}" name="Clase 9" dataDxfId="19"/>
    <tableColumn id="18" xr3:uid="{ADC82154-3D9A-412D-BBCE-DBEEB98E6610}" name="Clase 10" dataDxfId="18"/>
    <tableColumn id="19" xr3:uid="{19460279-E1E6-4F84-B595-81CC4C0FCD8D}" name="Clase 11" dataDxfId="17"/>
    <tableColumn id="20" xr3:uid="{3F3F3B53-7D93-4BF7-A992-A179861724A8}" name="Clase 12" dataDxfId="16"/>
    <tableColumn id="14" xr3:uid="{F40099D6-3AF3-4645-97D3-345A3661F63D}" name="ASISTENCIA (%)" dataDxfId="15">
      <calculatedColumnFormula>COUNTIF(H2:S2,"p")/(COUNTIF(H2:S2,"p")+COUNTIF(H2:S2,"a"))</calculatedColumnFormula>
    </tableColumn>
    <tableColumn id="21" xr3:uid="{C92C6D20-AE6E-4C7D-83B0-C34807A9FC38}" name="Column1" dataDxfId="14"/>
    <tableColumn id="22" xr3:uid="{ECF02DE5-135C-4B54-A5A5-0E57AF4D3FDC}" name="MAPA Luca" dataDxfId="13"/>
    <tableColumn id="23" xr3:uid="{ED96DD9B-147A-4E6C-AC47-E2347072D2DD}" name="MAPA Alejo" dataDxfId="12"/>
    <tableColumn id="24" xr3:uid="{01AFFAF5-ABF5-45D7-A9EA-4C38C7A016D8}" name="MAPA Fausto" dataDxfId="11"/>
    <tableColumn id="25" xr3:uid="{CE79005E-85AD-4EE6-9931-557F32AD419E}" name="MAPA Ramiro" dataDxfId="10"/>
    <tableColumn id="26" xr3:uid="{DC186BBF-DC07-47D7-969F-E340C06DBAB4}" name="Examen Neumátic" dataDxfId="9"/>
    <tableColumn id="27" xr3:uid="{C8711FA8-2304-4585-8702-E8331E23C058}" name="Rec Neum" dataDxfId="8"/>
    <tableColumn id="28" xr3:uid="{BD23D0CF-5C8A-4E20-BD96-85B1FA9BC1DD}" name="Examen Electroneumática" dataDxfId="7"/>
    <tableColumn id="29" xr3:uid="{75174F63-DCC1-4672-BF47-13697F3AF558}" name="Rec Elctro" dataDxfId="6"/>
    <tableColumn id="30" xr3:uid="{386181F3-9835-487B-80C1-FDDDEDDFDAF8}" name="Examen PLC" dataDxfId="5"/>
    <tableColumn id="31" xr3:uid="{0B612B9F-D3C4-4517-B58B-FC8B017FFE61}" name="Rec Plc" dataDxfId="4"/>
    <tableColumn id="32" xr3:uid="{E89101BB-D2C2-4F4A-9EDD-CF8643EFFB77}" name="Examen Práctico" dataDxfId="3"/>
    <tableColumn id="33" xr3:uid="{364E9100-8E50-4225-A3C5-282EE1A63C32}" name="Rec práctico" dataDxfId="2"/>
    <tableColumn id="34" xr3:uid="{FF7C7E3B-E358-4A24-AC89-1BEAF431011C}" name="Fecha de cert" dataDxfId="1"/>
    <tableColumn id="35" xr3:uid="{670E47A9-F71B-418A-A98B-436DC135AAA2}" name="Comentarios" dataDxfId="0"/>
  </tableColumns>
  <tableStyleInfo name="TableStyleMedium1" showFirstColumn="0" showLastColumn="0" showRowStripes="0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O2" dT="2026-05-13T11:41:54.48" personId="{D56E859D-94DE-4E43-B8B0-0F352945650F}" id="{87D9C66C-ED50-48BB-A41D-5798A913C1BC}">
    <text>Tuvo un accidente</text>
  </threadedComment>
  <threadedComment ref="O9" dT="2026-05-13T11:42:26.29" personId="{D56E859D-94DE-4E43-B8B0-0F352945650F}" id="{B01DAD73-7421-4CDE-A175-09895CAD89E7}">
    <text>Está descompuesto</text>
  </threadedComment>
  <threadedComment ref="M15" dT="2026-05-08T11:43:26.48" personId="{2FA8E69A-A345-446E-A556-8D1C5FF05EBA}" id="{07E07311-4533-46E1-93C3-3C6509CA01D3}">
    <text>no pudo venir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33"/>
  <sheetViews>
    <sheetView workbookViewId="0">
      <pane ySplit="1" topLeftCell="O2" activePane="bottomLeft" state="frozen"/>
      <selection pane="bottomLeft" activeCell="AI1" sqref="V1:AI1"/>
      <selection activeCell="D1" sqref="D1"/>
    </sheetView>
  </sheetViews>
  <sheetFormatPr defaultColWidth="11.42578125" defaultRowHeight="15"/>
  <cols>
    <col min="1" max="1" width="13.28515625" style="2" bestFit="1" customWidth="1"/>
    <col min="2" max="2" width="13.85546875" style="1" bestFit="1" customWidth="1"/>
    <col min="3" max="3" width="10.140625" style="1" bestFit="1" customWidth="1"/>
    <col min="4" max="4" width="14.85546875" bestFit="1" customWidth="1"/>
    <col min="5" max="5" width="17.28515625" style="2" bestFit="1" customWidth="1"/>
    <col min="6" max="6" width="17.5703125" style="1" bestFit="1" customWidth="1"/>
    <col min="7" max="8" width="11.28515625" style="1" bestFit="1" customWidth="1"/>
    <col min="9" max="9" width="0" style="1" hidden="1" customWidth="1"/>
    <col min="10" max="11" width="11.42578125" style="1"/>
    <col min="12" max="12" width="0" style="1" hidden="1" customWidth="1"/>
    <col min="13" max="15" width="11.42578125" style="1"/>
    <col min="16" max="16" width="0" style="1" hidden="1" customWidth="1"/>
    <col min="17" max="18" width="11.42578125" style="1"/>
    <col min="19" max="19" width="0" style="1" hidden="1" customWidth="1"/>
    <col min="20" max="20" width="21.140625" style="1" bestFit="1" customWidth="1"/>
    <col min="21" max="34" width="11.42578125" style="1"/>
    <col min="35" max="35" width="16" style="1" bestFit="1" customWidth="1"/>
    <col min="36" max="16384" width="11.42578125" style="1"/>
  </cols>
  <sheetData>
    <row r="1" spans="1:35" ht="37.5" customHeight="1">
      <c r="A1" s="3" t="s">
        <v>0</v>
      </c>
      <c r="B1" s="5" t="s">
        <v>1</v>
      </c>
      <c r="C1" s="3" t="s">
        <v>2</v>
      </c>
      <c r="D1" s="5" t="s">
        <v>3</v>
      </c>
      <c r="E1" s="4" t="s">
        <v>4</v>
      </c>
      <c r="F1" s="5" t="s">
        <v>5</v>
      </c>
      <c r="G1" s="3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</row>
    <row r="2" spans="1:35">
      <c r="A2" s="6">
        <v>1</v>
      </c>
      <c r="B2" s="6" t="s">
        <v>35</v>
      </c>
      <c r="C2" s="6" t="s">
        <v>36</v>
      </c>
      <c r="D2" s="6" t="s">
        <v>37</v>
      </c>
      <c r="E2" s="6" t="s">
        <v>38</v>
      </c>
      <c r="F2" s="6" t="s">
        <v>39</v>
      </c>
      <c r="G2" s="6">
        <v>48929270</v>
      </c>
      <c r="H2" s="6" t="s">
        <v>40</v>
      </c>
      <c r="I2" s="6"/>
      <c r="J2" s="6" t="s">
        <v>40</v>
      </c>
      <c r="K2" s="6" t="s">
        <v>40</v>
      </c>
      <c r="L2" s="6"/>
      <c r="M2" s="6" t="s">
        <v>40</v>
      </c>
      <c r="N2" s="16" t="s">
        <v>41</v>
      </c>
      <c r="O2" s="16" t="s">
        <v>41</v>
      </c>
      <c r="P2" s="16"/>
      <c r="Q2" s="16" t="s">
        <v>41</v>
      </c>
      <c r="R2" s="16" t="s">
        <v>41</v>
      </c>
      <c r="S2" s="16"/>
      <c r="T2" s="9">
        <f t="shared" ref="T2:T19" si="0">COUNTIF(H2:S2,"p")/(COUNTIF(H2:S2,"p")+COUNTIF(H2:S2,"a"))</f>
        <v>0.5</v>
      </c>
      <c r="U2" s="16" t="s">
        <v>41</v>
      </c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</row>
    <row r="3" spans="1:35">
      <c r="A3" s="6">
        <v>2</v>
      </c>
      <c r="B3" s="6" t="s">
        <v>35</v>
      </c>
      <c r="C3" s="6" t="s">
        <v>36</v>
      </c>
      <c r="D3" s="6" t="s">
        <v>37</v>
      </c>
      <c r="E3" s="6" t="s">
        <v>42</v>
      </c>
      <c r="F3" s="6" t="s">
        <v>43</v>
      </c>
      <c r="G3" s="6">
        <v>47333671</v>
      </c>
      <c r="H3" s="6" t="s">
        <v>41</v>
      </c>
      <c r="I3" s="6"/>
      <c r="J3" s="6" t="s">
        <v>40</v>
      </c>
      <c r="K3" s="6" t="s">
        <v>40</v>
      </c>
      <c r="L3" s="6"/>
      <c r="M3" s="6" t="s">
        <v>40</v>
      </c>
      <c r="N3" s="6" t="s">
        <v>40</v>
      </c>
      <c r="O3" s="6" t="s">
        <v>40</v>
      </c>
      <c r="P3" s="6"/>
      <c r="Q3" s="6" t="s">
        <v>41</v>
      </c>
      <c r="R3" s="6" t="s">
        <v>40</v>
      </c>
      <c r="S3" s="6"/>
      <c r="T3" s="10">
        <f t="shared" si="0"/>
        <v>0.75</v>
      </c>
      <c r="U3" s="6" t="s">
        <v>40</v>
      </c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6" t="s">
        <v>44</v>
      </c>
    </row>
    <row r="4" spans="1:35">
      <c r="A4" s="6">
        <v>3</v>
      </c>
      <c r="B4" s="6" t="s">
        <v>35</v>
      </c>
      <c r="C4" s="6" t="s">
        <v>36</v>
      </c>
      <c r="D4" s="6" t="s">
        <v>37</v>
      </c>
      <c r="E4" s="6" t="s">
        <v>45</v>
      </c>
      <c r="F4" s="6" t="s">
        <v>46</v>
      </c>
      <c r="G4" s="6">
        <v>49370777</v>
      </c>
      <c r="H4" s="6" t="s">
        <v>40</v>
      </c>
      <c r="I4" s="6"/>
      <c r="J4" s="6" t="s">
        <v>40</v>
      </c>
      <c r="K4" s="6" t="s">
        <v>40</v>
      </c>
      <c r="L4" s="6"/>
      <c r="M4" s="6" t="s">
        <v>40</v>
      </c>
      <c r="N4" s="6" t="s">
        <v>40</v>
      </c>
      <c r="O4" s="6" t="s">
        <v>40</v>
      </c>
      <c r="P4" s="6"/>
      <c r="Q4" s="6" t="s">
        <v>40</v>
      </c>
      <c r="R4" s="6" t="s">
        <v>40</v>
      </c>
      <c r="S4" s="6"/>
      <c r="T4" s="10">
        <f t="shared" si="0"/>
        <v>1</v>
      </c>
      <c r="U4" s="6" t="s">
        <v>40</v>
      </c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 t="s">
        <v>47</v>
      </c>
    </row>
    <row r="5" spans="1:35">
      <c r="A5" s="6">
        <v>4</v>
      </c>
      <c r="B5" s="6" t="s">
        <v>35</v>
      </c>
      <c r="C5" s="6" t="s">
        <v>36</v>
      </c>
      <c r="D5" s="6" t="s">
        <v>48</v>
      </c>
      <c r="E5" s="6" t="s">
        <v>49</v>
      </c>
      <c r="F5" s="6" t="s">
        <v>50</v>
      </c>
      <c r="G5" s="6">
        <v>49413067</v>
      </c>
      <c r="H5" s="6" t="s">
        <v>40</v>
      </c>
      <c r="I5" s="6"/>
      <c r="J5" s="6" t="s">
        <v>40</v>
      </c>
      <c r="K5" s="6" t="s">
        <v>40</v>
      </c>
      <c r="L5" s="6"/>
      <c r="M5" s="6" t="s">
        <v>40</v>
      </c>
      <c r="N5" s="6" t="s">
        <v>40</v>
      </c>
      <c r="O5" s="6" t="s">
        <v>40</v>
      </c>
      <c r="P5" s="6"/>
      <c r="Q5" s="6" t="s">
        <v>40</v>
      </c>
      <c r="R5" s="6" t="s">
        <v>40</v>
      </c>
      <c r="S5" s="6"/>
      <c r="T5" s="10">
        <f t="shared" si="0"/>
        <v>1</v>
      </c>
      <c r="U5" s="6" t="s">
        <v>40</v>
      </c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6" t="s">
        <v>44</v>
      </c>
    </row>
    <row r="6" spans="1:35">
      <c r="A6" s="6">
        <v>5</v>
      </c>
      <c r="B6" s="6" t="s">
        <v>35</v>
      </c>
      <c r="C6" s="6" t="s">
        <v>36</v>
      </c>
      <c r="D6" s="6" t="s">
        <v>48</v>
      </c>
      <c r="E6" s="6" t="s">
        <v>51</v>
      </c>
      <c r="F6" s="6" t="s">
        <v>52</v>
      </c>
      <c r="G6" s="6">
        <v>49649737</v>
      </c>
      <c r="H6" s="6" t="s">
        <v>40</v>
      </c>
      <c r="I6" s="6"/>
      <c r="J6" s="6" t="s">
        <v>40</v>
      </c>
      <c r="K6" s="6" t="s">
        <v>40</v>
      </c>
      <c r="L6" s="6"/>
      <c r="M6" s="6" t="s">
        <v>40</v>
      </c>
      <c r="N6" s="6" t="s">
        <v>40</v>
      </c>
      <c r="O6" s="6" t="s">
        <v>40</v>
      </c>
      <c r="P6" s="6"/>
      <c r="Q6" s="6" t="s">
        <v>40</v>
      </c>
      <c r="R6" s="6" t="s">
        <v>40</v>
      </c>
      <c r="S6" s="6"/>
      <c r="T6" s="10">
        <f t="shared" si="0"/>
        <v>1</v>
      </c>
      <c r="U6" s="6" t="s">
        <v>40</v>
      </c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</row>
    <row r="7" spans="1:35">
      <c r="A7" s="6">
        <v>6</v>
      </c>
      <c r="B7" s="6" t="s">
        <v>35</v>
      </c>
      <c r="C7" s="6" t="s">
        <v>36</v>
      </c>
      <c r="D7" s="6" t="s">
        <v>53</v>
      </c>
      <c r="E7" s="6" t="s">
        <v>54</v>
      </c>
      <c r="F7" s="6" t="s">
        <v>55</v>
      </c>
      <c r="G7" s="6">
        <v>49728389</v>
      </c>
      <c r="H7" s="6" t="s">
        <v>40</v>
      </c>
      <c r="I7" s="6"/>
      <c r="J7" s="6" t="s">
        <v>40</v>
      </c>
      <c r="K7" s="6" t="s">
        <v>40</v>
      </c>
      <c r="L7" s="6"/>
      <c r="M7" s="6" t="s">
        <v>40</v>
      </c>
      <c r="N7" s="6" t="s">
        <v>40</v>
      </c>
      <c r="O7" s="6" t="s">
        <v>40</v>
      </c>
      <c r="P7" s="6"/>
      <c r="Q7" s="6" t="s">
        <v>40</v>
      </c>
      <c r="R7" s="6" t="s">
        <v>40</v>
      </c>
      <c r="S7" s="6"/>
      <c r="T7" s="10">
        <f t="shared" si="0"/>
        <v>1</v>
      </c>
      <c r="U7" s="6" t="s">
        <v>40</v>
      </c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</row>
    <row r="8" spans="1:35">
      <c r="A8" s="6">
        <v>7</v>
      </c>
      <c r="B8" s="6" t="s">
        <v>35</v>
      </c>
      <c r="C8" s="6" t="s">
        <v>36</v>
      </c>
      <c r="D8" s="6" t="s">
        <v>53</v>
      </c>
      <c r="E8" s="6" t="s">
        <v>56</v>
      </c>
      <c r="F8" s="6" t="s">
        <v>57</v>
      </c>
      <c r="G8" s="6">
        <v>49306692</v>
      </c>
      <c r="H8" s="6" t="s">
        <v>40</v>
      </c>
      <c r="I8" s="6"/>
      <c r="J8" s="6" t="s">
        <v>40</v>
      </c>
      <c r="K8" s="6" t="s">
        <v>40</v>
      </c>
      <c r="L8" s="6"/>
      <c r="M8" s="6" t="s">
        <v>40</v>
      </c>
      <c r="N8" s="6" t="s">
        <v>40</v>
      </c>
      <c r="O8" s="6" t="s">
        <v>40</v>
      </c>
      <c r="P8" s="6"/>
      <c r="Q8" s="6" t="s">
        <v>40</v>
      </c>
      <c r="R8" s="6" t="s">
        <v>40</v>
      </c>
      <c r="S8" s="6"/>
      <c r="T8" s="10">
        <f t="shared" si="0"/>
        <v>1</v>
      </c>
      <c r="U8" s="6" t="s">
        <v>40</v>
      </c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6" t="s">
        <v>44</v>
      </c>
    </row>
    <row r="9" spans="1:35">
      <c r="A9" s="6">
        <v>8</v>
      </c>
      <c r="B9" s="6" t="s">
        <v>35</v>
      </c>
      <c r="C9" s="6" t="s">
        <v>36</v>
      </c>
      <c r="D9" s="6" t="s">
        <v>48</v>
      </c>
      <c r="E9" s="6" t="s">
        <v>58</v>
      </c>
      <c r="F9" s="6" t="s">
        <v>59</v>
      </c>
      <c r="G9" s="6">
        <v>49884393</v>
      </c>
      <c r="H9" s="6" t="s">
        <v>40</v>
      </c>
      <c r="I9" s="6"/>
      <c r="J9" s="6" t="s">
        <v>40</v>
      </c>
      <c r="K9" s="6" t="s">
        <v>40</v>
      </c>
      <c r="L9" s="6"/>
      <c r="M9" s="6" t="s">
        <v>40</v>
      </c>
      <c r="N9" s="6" t="s">
        <v>40</v>
      </c>
      <c r="O9" s="6" t="s">
        <v>41</v>
      </c>
      <c r="P9" s="6"/>
      <c r="Q9" s="6" t="s">
        <v>40</v>
      </c>
      <c r="R9" s="6" t="s">
        <v>40</v>
      </c>
      <c r="S9" s="6"/>
      <c r="T9" s="10">
        <f t="shared" si="0"/>
        <v>0.875</v>
      </c>
      <c r="U9" s="6" t="s">
        <v>40</v>
      </c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</row>
    <row r="10" spans="1:35">
      <c r="A10" s="6">
        <v>9</v>
      </c>
      <c r="B10" s="6" t="s">
        <v>35</v>
      </c>
      <c r="C10" s="6" t="s">
        <v>36</v>
      </c>
      <c r="D10" s="6" t="s">
        <v>53</v>
      </c>
      <c r="E10" s="6" t="s">
        <v>60</v>
      </c>
      <c r="F10" s="6" t="s">
        <v>61</v>
      </c>
      <c r="G10" s="6">
        <v>50142601</v>
      </c>
      <c r="H10" s="6" t="s">
        <v>40</v>
      </c>
      <c r="I10" s="6"/>
      <c r="J10" s="6" t="s">
        <v>40</v>
      </c>
      <c r="K10" s="6" t="s">
        <v>40</v>
      </c>
      <c r="L10" s="6"/>
      <c r="M10" s="6" t="s">
        <v>40</v>
      </c>
      <c r="N10" s="6" t="s">
        <v>40</v>
      </c>
      <c r="O10" s="6" t="s">
        <v>40</v>
      </c>
      <c r="P10" s="6"/>
      <c r="Q10" s="6" t="s">
        <v>40</v>
      </c>
      <c r="R10" s="6" t="s">
        <v>40</v>
      </c>
      <c r="S10" s="6"/>
      <c r="T10" s="10">
        <f t="shared" si="0"/>
        <v>1</v>
      </c>
      <c r="U10" s="6" t="s">
        <v>40</v>
      </c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</row>
    <row r="11" spans="1:35">
      <c r="A11" s="6">
        <v>10</v>
      </c>
      <c r="B11" s="6" t="s">
        <v>35</v>
      </c>
      <c r="C11" s="6" t="s">
        <v>36</v>
      </c>
      <c r="D11" s="6" t="s">
        <v>53</v>
      </c>
      <c r="E11" s="6" t="s">
        <v>62</v>
      </c>
      <c r="F11" s="6" t="s">
        <v>63</v>
      </c>
      <c r="G11" s="6">
        <v>49746230</v>
      </c>
      <c r="H11" s="6" t="s">
        <v>40</v>
      </c>
      <c r="I11" s="6"/>
      <c r="J11" s="6" t="s">
        <v>40</v>
      </c>
      <c r="K11" s="6" t="s">
        <v>40</v>
      </c>
      <c r="L11" s="6"/>
      <c r="M11" s="6" t="s">
        <v>40</v>
      </c>
      <c r="N11" s="6" t="s">
        <v>40</v>
      </c>
      <c r="O11" s="6" t="s">
        <v>40</v>
      </c>
      <c r="P11" s="6"/>
      <c r="Q11" s="6" t="s">
        <v>40</v>
      </c>
      <c r="R11" s="6" t="s">
        <v>40</v>
      </c>
      <c r="S11" s="6"/>
      <c r="T11" s="10">
        <f t="shared" si="0"/>
        <v>1</v>
      </c>
      <c r="U11" s="6" t="s">
        <v>40</v>
      </c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 t="s">
        <v>47</v>
      </c>
    </row>
    <row r="12" spans="1:35">
      <c r="A12" s="6">
        <v>11</v>
      </c>
      <c r="B12" s="6" t="s">
        <v>35</v>
      </c>
      <c r="C12" s="6" t="s">
        <v>36</v>
      </c>
      <c r="D12" s="6" t="s">
        <v>48</v>
      </c>
      <c r="E12" s="6" t="s">
        <v>64</v>
      </c>
      <c r="F12" s="6" t="s">
        <v>65</v>
      </c>
      <c r="G12" s="6">
        <v>49746340</v>
      </c>
      <c r="H12" s="6" t="s">
        <v>40</v>
      </c>
      <c r="I12" s="6"/>
      <c r="J12" s="6" t="s">
        <v>40</v>
      </c>
      <c r="K12" s="6" t="s">
        <v>40</v>
      </c>
      <c r="L12" s="6"/>
      <c r="M12" s="6" t="s">
        <v>40</v>
      </c>
      <c r="N12" s="6" t="s">
        <v>40</v>
      </c>
      <c r="O12" s="6" t="s">
        <v>40</v>
      </c>
      <c r="P12" s="6"/>
      <c r="Q12" s="6" t="s">
        <v>40</v>
      </c>
      <c r="R12" s="6" t="s">
        <v>40</v>
      </c>
      <c r="S12" s="6"/>
      <c r="T12" s="10">
        <f t="shared" si="0"/>
        <v>1</v>
      </c>
      <c r="U12" s="6" t="s">
        <v>40</v>
      </c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6" t="s">
        <v>44</v>
      </c>
    </row>
    <row r="13" spans="1:35">
      <c r="A13" s="6">
        <v>12</v>
      </c>
      <c r="B13" s="6" t="s">
        <v>35</v>
      </c>
      <c r="C13" s="6" t="s">
        <v>36</v>
      </c>
      <c r="D13" s="6" t="s">
        <v>37</v>
      </c>
      <c r="E13" s="6" t="s">
        <v>66</v>
      </c>
      <c r="F13" s="6" t="s">
        <v>67</v>
      </c>
      <c r="G13" s="6">
        <v>48995136</v>
      </c>
      <c r="H13" s="6" t="s">
        <v>40</v>
      </c>
      <c r="I13" s="6"/>
      <c r="J13" s="6" t="s">
        <v>40</v>
      </c>
      <c r="K13" s="6" t="s">
        <v>40</v>
      </c>
      <c r="L13" s="6"/>
      <c r="M13" s="6" t="s">
        <v>40</v>
      </c>
      <c r="N13" s="6" t="s">
        <v>40</v>
      </c>
      <c r="O13" s="6" t="s">
        <v>40</v>
      </c>
      <c r="P13" s="6"/>
      <c r="Q13" s="6" t="s">
        <v>40</v>
      </c>
      <c r="R13" s="6" t="s">
        <v>40</v>
      </c>
      <c r="S13" s="6"/>
      <c r="T13" s="10">
        <f t="shared" si="0"/>
        <v>1</v>
      </c>
      <c r="U13" s="6" t="s">
        <v>40</v>
      </c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</row>
    <row r="14" spans="1:35">
      <c r="A14" s="6">
        <v>13</v>
      </c>
      <c r="B14" s="6" t="s">
        <v>35</v>
      </c>
      <c r="C14" s="6" t="s">
        <v>36</v>
      </c>
      <c r="D14" s="6" t="s">
        <v>48</v>
      </c>
      <c r="E14" s="6" t="s">
        <v>68</v>
      </c>
      <c r="F14" s="6" t="s">
        <v>69</v>
      </c>
      <c r="G14" s="6">
        <v>50015409</v>
      </c>
      <c r="H14" s="6" t="s">
        <v>40</v>
      </c>
      <c r="I14" s="6"/>
      <c r="J14" s="6" t="s">
        <v>40</v>
      </c>
      <c r="K14" s="6" t="s">
        <v>40</v>
      </c>
      <c r="L14" s="6"/>
      <c r="M14" s="6" t="s">
        <v>40</v>
      </c>
      <c r="N14" s="6" t="s">
        <v>40</v>
      </c>
      <c r="O14" s="6" t="s">
        <v>40</v>
      </c>
      <c r="P14" s="6"/>
      <c r="Q14" s="6" t="s">
        <v>40</v>
      </c>
      <c r="R14" s="6" t="s">
        <v>40</v>
      </c>
      <c r="S14" s="6"/>
      <c r="T14" s="10">
        <f t="shared" si="0"/>
        <v>1</v>
      </c>
      <c r="U14" s="6" t="s">
        <v>40</v>
      </c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</row>
    <row r="15" spans="1:35">
      <c r="A15" s="6">
        <v>14</v>
      </c>
      <c r="B15" s="6" t="s">
        <v>35</v>
      </c>
      <c r="C15" s="6" t="s">
        <v>36</v>
      </c>
      <c r="D15" s="6" t="s">
        <v>53</v>
      </c>
      <c r="E15" s="6" t="s">
        <v>70</v>
      </c>
      <c r="F15" s="6" t="s">
        <v>71</v>
      </c>
      <c r="G15" s="6">
        <v>50015377</v>
      </c>
      <c r="H15" s="6" t="s">
        <v>40</v>
      </c>
      <c r="I15" s="6"/>
      <c r="J15" s="6" t="s">
        <v>40</v>
      </c>
      <c r="K15" s="6" t="s">
        <v>40</v>
      </c>
      <c r="L15" s="6"/>
      <c r="M15" s="6" t="s">
        <v>41</v>
      </c>
      <c r="N15" s="6" t="s">
        <v>40</v>
      </c>
      <c r="O15" s="6" t="s">
        <v>40</v>
      </c>
      <c r="P15" s="6"/>
      <c r="Q15" s="6" t="s">
        <v>40</v>
      </c>
      <c r="R15" s="6" t="s">
        <v>40</v>
      </c>
      <c r="S15" s="6"/>
      <c r="T15" s="10">
        <f t="shared" si="0"/>
        <v>0.875</v>
      </c>
      <c r="U15" s="6" t="s">
        <v>40</v>
      </c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6" t="s">
        <v>44</v>
      </c>
    </row>
    <row r="16" spans="1:35">
      <c r="A16" s="6">
        <v>15</v>
      </c>
      <c r="B16" s="6" t="s">
        <v>35</v>
      </c>
      <c r="C16" s="6" t="s">
        <v>36</v>
      </c>
      <c r="D16" s="6" t="s">
        <v>53</v>
      </c>
      <c r="E16" s="6" t="s">
        <v>72</v>
      </c>
      <c r="F16" s="6" t="s">
        <v>73</v>
      </c>
      <c r="G16" s="6">
        <v>49665427</v>
      </c>
      <c r="H16" s="6" t="s">
        <v>40</v>
      </c>
      <c r="I16" s="6"/>
      <c r="J16" s="6" t="s">
        <v>40</v>
      </c>
      <c r="K16" s="6" t="s">
        <v>40</v>
      </c>
      <c r="L16" s="6"/>
      <c r="M16" s="6" t="s">
        <v>40</v>
      </c>
      <c r="N16" s="6" t="s">
        <v>40</v>
      </c>
      <c r="O16" s="6" t="s">
        <v>40</v>
      </c>
      <c r="P16" s="6"/>
      <c r="Q16" s="6" t="s">
        <v>40</v>
      </c>
      <c r="R16" s="6" t="s">
        <v>40</v>
      </c>
      <c r="S16" s="6"/>
      <c r="T16" s="10">
        <f t="shared" si="0"/>
        <v>1</v>
      </c>
      <c r="U16" s="6" t="s">
        <v>40</v>
      </c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 t="s">
        <v>47</v>
      </c>
    </row>
    <row r="17" spans="1:35">
      <c r="A17" s="6">
        <v>16</v>
      </c>
      <c r="B17" s="6" t="s">
        <v>35</v>
      </c>
      <c r="C17" s="6" t="s">
        <v>36</v>
      </c>
      <c r="D17" s="6" t="s">
        <v>48</v>
      </c>
      <c r="E17" s="6" t="s">
        <v>74</v>
      </c>
      <c r="F17" s="6" t="s">
        <v>75</v>
      </c>
      <c r="G17" s="6">
        <v>50250570</v>
      </c>
      <c r="H17" s="6" t="s">
        <v>41</v>
      </c>
      <c r="I17" s="6"/>
      <c r="J17" s="6" t="s">
        <v>41</v>
      </c>
      <c r="K17" s="6" t="s">
        <v>41</v>
      </c>
      <c r="L17" s="6"/>
      <c r="M17" s="6" t="s">
        <v>41</v>
      </c>
      <c r="N17" s="6" t="s">
        <v>41</v>
      </c>
      <c r="O17" s="6" t="s">
        <v>41</v>
      </c>
      <c r="P17" s="6"/>
      <c r="Q17" s="6" t="s">
        <v>41</v>
      </c>
      <c r="R17" s="6" t="s">
        <v>41</v>
      </c>
      <c r="S17" s="6"/>
      <c r="T17" s="10">
        <f t="shared" si="0"/>
        <v>0</v>
      </c>
      <c r="U17" s="6" t="s">
        <v>41</v>
      </c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</row>
    <row r="18" spans="1:35">
      <c r="A18" s="6">
        <v>17</v>
      </c>
      <c r="B18" s="6" t="s">
        <v>35</v>
      </c>
      <c r="C18" s="6" t="s">
        <v>36</v>
      </c>
      <c r="D18" s="6" t="s">
        <v>53</v>
      </c>
      <c r="E18" s="6" t="s">
        <v>76</v>
      </c>
      <c r="F18" s="6" t="s">
        <v>77</v>
      </c>
      <c r="G18" s="6">
        <v>49746289</v>
      </c>
      <c r="H18" s="6" t="s">
        <v>40</v>
      </c>
      <c r="I18" s="6"/>
      <c r="J18" s="6" t="s">
        <v>40</v>
      </c>
      <c r="K18" s="6" t="s">
        <v>40</v>
      </c>
      <c r="L18" s="6"/>
      <c r="M18" s="6" t="s">
        <v>40</v>
      </c>
      <c r="N18" s="6" t="s">
        <v>40</v>
      </c>
      <c r="O18" s="6" t="s">
        <v>40</v>
      </c>
      <c r="P18" s="6"/>
      <c r="Q18" s="6" t="s">
        <v>40</v>
      </c>
      <c r="R18" s="6" t="s">
        <v>40</v>
      </c>
      <c r="S18" s="6"/>
      <c r="T18" s="10">
        <f t="shared" si="0"/>
        <v>1</v>
      </c>
      <c r="U18" s="6" t="s">
        <v>40</v>
      </c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 t="s">
        <v>47</v>
      </c>
    </row>
    <row r="19" spans="1:35">
      <c r="A19" s="6">
        <v>18</v>
      </c>
      <c r="B19" s="6" t="s">
        <v>35</v>
      </c>
      <c r="C19" s="6" t="s">
        <v>36</v>
      </c>
      <c r="D19" s="6" t="s">
        <v>53</v>
      </c>
      <c r="E19" s="6" t="s">
        <v>78</v>
      </c>
      <c r="F19" s="6" t="s">
        <v>79</v>
      </c>
      <c r="G19" s="6">
        <v>49746353</v>
      </c>
      <c r="H19" s="6" t="s">
        <v>40</v>
      </c>
      <c r="I19" s="6"/>
      <c r="J19" s="6" t="s">
        <v>40</v>
      </c>
      <c r="K19" s="6" t="s">
        <v>40</v>
      </c>
      <c r="L19" s="6"/>
      <c r="M19" s="6" t="s">
        <v>40</v>
      </c>
      <c r="N19" s="17" t="s">
        <v>40</v>
      </c>
      <c r="O19" s="17" t="s">
        <v>40</v>
      </c>
      <c r="P19" s="17"/>
      <c r="Q19" s="17" t="s">
        <v>40</v>
      </c>
      <c r="R19" s="17" t="s">
        <v>41</v>
      </c>
      <c r="S19" s="17"/>
      <c r="T19" s="11">
        <f t="shared" si="0"/>
        <v>0.875</v>
      </c>
      <c r="U19" s="17" t="s">
        <v>40</v>
      </c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 t="s">
        <v>47</v>
      </c>
    </row>
    <row r="20" spans="1:35">
      <c r="D20" s="1"/>
    </row>
    <row r="33" spans="5:5">
      <c r="E33" s="2">
        <v>50</v>
      </c>
    </row>
  </sheetData>
  <sortState xmlns:xlrd2="http://schemas.microsoft.com/office/spreadsheetml/2017/richdata2" ref="D2:G19">
    <sortCondition ref="E2:E19"/>
  </sortState>
  <pageMargins left="0.7" right="0.7" top="0.75" bottom="0.75" header="0.3" footer="0.3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07165-B3BB-4372-9612-615BDB837A65}">
  <dimension ref="A1:BB20"/>
  <sheetViews>
    <sheetView workbookViewId="0">
      <pane ySplit="1" topLeftCell="A2" activePane="bottomLeft" state="frozen"/>
      <selection pane="bottomLeft" activeCell="AH1" sqref="A1:AH1"/>
    </sheetView>
  </sheetViews>
  <sheetFormatPr defaultColWidth="11.42578125" defaultRowHeight="15"/>
  <cols>
    <col min="1" max="1" width="13.28515625" bestFit="1" customWidth="1"/>
    <col min="2" max="2" width="13.85546875" bestFit="1" customWidth="1"/>
    <col min="3" max="3" width="12" bestFit="1" customWidth="1"/>
    <col min="4" max="4" width="13" bestFit="1" customWidth="1"/>
    <col min="5" max="5" width="16.28515625" bestFit="1" customWidth="1"/>
    <col min="6" max="6" width="15.28515625" bestFit="1" customWidth="1"/>
    <col min="7" max="7" width="11.28515625" bestFit="1" customWidth="1"/>
    <col min="8" max="8" width="11.140625" bestFit="1" customWidth="1"/>
    <col min="9" max="13" width="13.5703125" bestFit="1" customWidth="1"/>
    <col min="14" max="14" width="15.140625" style="15" bestFit="1" customWidth="1"/>
    <col min="15" max="19" width="9.140625"/>
    <col min="20" max="20" width="20.42578125" bestFit="1" customWidth="1"/>
    <col min="21" max="33" width="9.140625" style="1"/>
    <col min="34" max="34" width="16" style="1" bestFit="1" customWidth="1"/>
  </cols>
  <sheetData>
    <row r="1" spans="1:54" ht="87.75">
      <c r="A1" s="18" t="s">
        <v>0</v>
      </c>
      <c r="B1" s="19" t="s">
        <v>1</v>
      </c>
      <c r="C1" s="18" t="s">
        <v>2</v>
      </c>
      <c r="D1" s="19" t="s">
        <v>3</v>
      </c>
      <c r="E1" s="20" t="s">
        <v>4</v>
      </c>
      <c r="F1" s="19" t="s">
        <v>5</v>
      </c>
      <c r="G1" s="18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19" t="s">
        <v>15</v>
      </c>
      <c r="Q1" s="19" t="s">
        <v>16</v>
      </c>
      <c r="R1" s="19" t="s">
        <v>17</v>
      </c>
      <c r="S1" s="19" t="s">
        <v>18</v>
      </c>
      <c r="T1" s="19" t="s">
        <v>19</v>
      </c>
      <c r="U1" s="19" t="s">
        <v>21</v>
      </c>
      <c r="V1" s="19" t="s">
        <v>22</v>
      </c>
      <c r="W1" s="19" t="s">
        <v>23</v>
      </c>
      <c r="X1" s="19" t="s">
        <v>24</v>
      </c>
      <c r="Y1" s="19" t="s">
        <v>25</v>
      </c>
      <c r="Z1" s="19" t="s">
        <v>26</v>
      </c>
      <c r="AA1" s="19" t="s">
        <v>27</v>
      </c>
      <c r="AB1" s="19" t="s">
        <v>28</v>
      </c>
      <c r="AC1" s="19" t="s">
        <v>29</v>
      </c>
      <c r="AD1" s="19" t="s">
        <v>30</v>
      </c>
      <c r="AE1" s="19" t="s">
        <v>31</v>
      </c>
      <c r="AF1" s="19" t="s">
        <v>32</v>
      </c>
      <c r="AG1" s="19" t="s">
        <v>33</v>
      </c>
      <c r="AH1" s="19" t="s">
        <v>34</v>
      </c>
    </row>
    <row r="2" spans="1:54">
      <c r="A2" s="21">
        <v>1</v>
      </c>
      <c r="B2" s="22" t="s">
        <v>35</v>
      </c>
      <c r="C2" s="22" t="s">
        <v>80</v>
      </c>
      <c r="D2" s="22" t="s">
        <v>53</v>
      </c>
      <c r="E2" s="22" t="s">
        <v>81</v>
      </c>
      <c r="F2" s="22" t="s">
        <v>82</v>
      </c>
      <c r="G2" s="22">
        <v>50142563</v>
      </c>
      <c r="H2" s="22" t="s">
        <v>40</v>
      </c>
      <c r="I2" s="22" t="s">
        <v>40</v>
      </c>
      <c r="J2" s="22" t="s">
        <v>40</v>
      </c>
      <c r="K2" s="22" t="s">
        <v>40</v>
      </c>
      <c r="L2" s="22" t="s">
        <v>40</v>
      </c>
      <c r="M2" s="23" t="s">
        <v>40</v>
      </c>
      <c r="N2" s="12" t="s">
        <v>40</v>
      </c>
      <c r="O2" s="22" t="s">
        <v>40</v>
      </c>
      <c r="P2" s="22" t="s">
        <v>40</v>
      </c>
      <c r="Q2" s="22" t="s">
        <v>40</v>
      </c>
      <c r="R2" s="22" t="s">
        <v>40</v>
      </c>
      <c r="S2" s="22" t="s">
        <v>40</v>
      </c>
      <c r="T2" s="24">
        <f>COUNTIF(H2:S2,"p")/(COUNTIF(H2:S2,"p")+COUNTIF(H2:S2,"a"))</f>
        <v>1</v>
      </c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L2" s="6" t="s">
        <v>83</v>
      </c>
      <c r="AM2" s="6" t="s">
        <v>84</v>
      </c>
      <c r="AN2" s="6">
        <v>49665449</v>
      </c>
      <c r="AO2" s="6" t="s">
        <v>40</v>
      </c>
      <c r="AP2" s="6" t="s">
        <v>40</v>
      </c>
      <c r="AQ2" s="6" t="s">
        <v>40</v>
      </c>
      <c r="AR2" s="6" t="s">
        <v>40</v>
      </c>
      <c r="AS2" s="6" t="s">
        <v>40</v>
      </c>
      <c r="AT2" s="8" t="s">
        <v>40</v>
      </c>
      <c r="AU2" s="13" t="s">
        <v>40</v>
      </c>
      <c r="AV2" s="6" t="s">
        <v>40</v>
      </c>
      <c r="AW2" s="6" t="s">
        <v>40</v>
      </c>
      <c r="AX2" s="6" t="s">
        <v>40</v>
      </c>
      <c r="AY2" s="6" t="s">
        <v>40</v>
      </c>
      <c r="AZ2" s="6" t="s">
        <v>40</v>
      </c>
      <c r="BA2" s="26">
        <f t="shared" ref="BA2:BA14" si="0">COUNTIF(AO2:AZ2,"p")/(COUNTIF(AO2:AZ2,"p")+COUNTIF(AO2:AZ2,"a"))</f>
        <v>1</v>
      </c>
      <c r="BB2" t="s">
        <v>47</v>
      </c>
    </row>
    <row r="3" spans="1:54">
      <c r="A3" s="25">
        <v>2</v>
      </c>
      <c r="B3" s="6" t="s">
        <v>35</v>
      </c>
      <c r="C3" s="6" t="s">
        <v>80</v>
      </c>
      <c r="D3" s="6" t="s">
        <v>53</v>
      </c>
      <c r="E3" s="6" t="s">
        <v>85</v>
      </c>
      <c r="F3" s="6" t="s">
        <v>86</v>
      </c>
      <c r="G3" s="6">
        <v>49892580</v>
      </c>
      <c r="H3" s="6" t="s">
        <v>40</v>
      </c>
      <c r="I3" s="6" t="s">
        <v>40</v>
      </c>
      <c r="J3" s="6" t="s">
        <v>40</v>
      </c>
      <c r="K3" s="6" t="s">
        <v>40</v>
      </c>
      <c r="L3" s="6" t="s">
        <v>40</v>
      </c>
      <c r="M3" s="8" t="s">
        <v>40</v>
      </c>
      <c r="N3" s="13" t="s">
        <v>40</v>
      </c>
      <c r="O3" s="6" t="s">
        <v>40</v>
      </c>
      <c r="P3" s="6" t="s">
        <v>40</v>
      </c>
      <c r="Q3" s="6" t="s">
        <v>40</v>
      </c>
      <c r="R3" s="6" t="s">
        <v>40</v>
      </c>
      <c r="S3" s="6" t="s">
        <v>40</v>
      </c>
      <c r="T3" s="26">
        <f t="shared" ref="T3:T19" si="1">COUNTIF(H3:S3,"p")/(COUNTIF(H3:S3,"p")+COUNTIF(H3:S3,"a"))</f>
        <v>1</v>
      </c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L3" s="6" t="s">
        <v>87</v>
      </c>
      <c r="AM3" s="6" t="s">
        <v>88</v>
      </c>
      <c r="AN3" s="6">
        <v>48790693</v>
      </c>
      <c r="AO3" s="6" t="s">
        <v>40</v>
      </c>
      <c r="AP3" s="6" t="s">
        <v>40</v>
      </c>
      <c r="AQ3" s="6" t="s">
        <v>40</v>
      </c>
      <c r="AR3" s="6" t="s">
        <v>40</v>
      </c>
      <c r="AS3" s="6" t="s">
        <v>40</v>
      </c>
      <c r="AT3" s="8" t="s">
        <v>40</v>
      </c>
      <c r="AU3" s="13" t="s">
        <v>40</v>
      </c>
      <c r="AV3" s="6" t="s">
        <v>40</v>
      </c>
      <c r="AW3" s="6" t="s">
        <v>40</v>
      </c>
      <c r="AX3" s="6" t="s">
        <v>40</v>
      </c>
      <c r="AY3" s="6" t="s">
        <v>40</v>
      </c>
      <c r="AZ3" s="6" t="s">
        <v>40</v>
      </c>
      <c r="BA3" s="26">
        <f t="shared" si="0"/>
        <v>1</v>
      </c>
      <c r="BB3" t="s">
        <v>47</v>
      </c>
    </row>
    <row r="4" spans="1:54">
      <c r="A4" s="25">
        <v>3</v>
      </c>
      <c r="B4" s="6" t="s">
        <v>35</v>
      </c>
      <c r="C4" s="6" t="s">
        <v>80</v>
      </c>
      <c r="D4" s="6" t="s">
        <v>53</v>
      </c>
      <c r="E4" s="6" t="s">
        <v>89</v>
      </c>
      <c r="F4" s="6" t="s">
        <v>90</v>
      </c>
      <c r="G4" s="6">
        <v>50250598</v>
      </c>
      <c r="H4" s="6" t="s">
        <v>40</v>
      </c>
      <c r="I4" s="6" t="s">
        <v>40</v>
      </c>
      <c r="J4" s="6" t="s">
        <v>40</v>
      </c>
      <c r="K4" s="6" t="s">
        <v>40</v>
      </c>
      <c r="L4" s="6" t="s">
        <v>40</v>
      </c>
      <c r="M4" s="8" t="s">
        <v>40</v>
      </c>
      <c r="N4" s="13" t="s">
        <v>40</v>
      </c>
      <c r="O4" s="6" t="s">
        <v>40</v>
      </c>
      <c r="P4" s="6" t="s">
        <v>40</v>
      </c>
      <c r="Q4" s="6" t="s">
        <v>40</v>
      </c>
      <c r="R4" s="6" t="s">
        <v>40</v>
      </c>
      <c r="S4" s="6" t="s">
        <v>40</v>
      </c>
      <c r="T4" s="26">
        <f t="shared" si="1"/>
        <v>1</v>
      </c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L4" s="6" t="s">
        <v>91</v>
      </c>
      <c r="AM4" s="6" t="s">
        <v>92</v>
      </c>
      <c r="AN4" s="6">
        <v>50094945</v>
      </c>
      <c r="AO4" s="6" t="s">
        <v>40</v>
      </c>
      <c r="AP4" s="6" t="s">
        <v>40</v>
      </c>
      <c r="AQ4" s="6" t="s">
        <v>40</v>
      </c>
      <c r="AR4" s="6" t="s">
        <v>40</v>
      </c>
      <c r="AS4" s="6" t="s">
        <v>40</v>
      </c>
      <c r="AT4" s="8" t="s">
        <v>40</v>
      </c>
      <c r="AU4" s="13" t="s">
        <v>40</v>
      </c>
      <c r="AV4" s="6" t="s">
        <v>40</v>
      </c>
      <c r="AW4" s="6" t="s">
        <v>40</v>
      </c>
      <c r="AX4" s="6" t="s">
        <v>40</v>
      </c>
      <c r="AY4" s="6" t="s">
        <v>40</v>
      </c>
      <c r="AZ4" s="6" t="s">
        <v>40</v>
      </c>
      <c r="BA4" s="26">
        <f t="shared" si="0"/>
        <v>1</v>
      </c>
    </row>
    <row r="5" spans="1:54">
      <c r="A5" s="25">
        <v>4</v>
      </c>
      <c r="B5" s="6" t="s">
        <v>35</v>
      </c>
      <c r="C5" s="6" t="s">
        <v>80</v>
      </c>
      <c r="D5" s="6" t="s">
        <v>53</v>
      </c>
      <c r="E5" s="6" t="s">
        <v>93</v>
      </c>
      <c r="F5" s="6" t="s">
        <v>94</v>
      </c>
      <c r="G5" s="6">
        <v>49306683</v>
      </c>
      <c r="H5" s="6" t="s">
        <v>40</v>
      </c>
      <c r="I5" s="6" t="s">
        <v>40</v>
      </c>
      <c r="J5" s="6" t="s">
        <v>40</v>
      </c>
      <c r="K5" s="6" t="s">
        <v>40</v>
      </c>
      <c r="L5" s="6" t="s">
        <v>40</v>
      </c>
      <c r="M5" s="8" t="s">
        <v>40</v>
      </c>
      <c r="N5" s="13" t="s">
        <v>40</v>
      </c>
      <c r="O5" s="6" t="s">
        <v>40</v>
      </c>
      <c r="P5" s="6" t="s">
        <v>40</v>
      </c>
      <c r="Q5" s="6" t="s">
        <v>40</v>
      </c>
      <c r="R5" s="6" t="s">
        <v>40</v>
      </c>
      <c r="S5" s="6" t="s">
        <v>40</v>
      </c>
      <c r="T5" s="26">
        <f t="shared" si="1"/>
        <v>1</v>
      </c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L5" s="6" t="s">
        <v>95</v>
      </c>
      <c r="AM5" s="6" t="s">
        <v>96</v>
      </c>
      <c r="AN5" s="6">
        <v>49665460</v>
      </c>
      <c r="AO5" s="6" t="s">
        <v>40</v>
      </c>
      <c r="AP5" s="6" t="s">
        <v>40</v>
      </c>
      <c r="AQ5" s="6" t="s">
        <v>40</v>
      </c>
      <c r="AR5" s="6" t="s">
        <v>40</v>
      </c>
      <c r="AS5" s="6" t="s">
        <v>40</v>
      </c>
      <c r="AT5" s="8" t="s">
        <v>40</v>
      </c>
      <c r="AU5" s="13" t="s">
        <v>40</v>
      </c>
      <c r="AV5" s="6" t="s">
        <v>40</v>
      </c>
      <c r="AW5" s="6" t="s">
        <v>40</v>
      </c>
      <c r="AX5" s="6" t="s">
        <v>40</v>
      </c>
      <c r="AY5" s="6" t="s">
        <v>40</v>
      </c>
      <c r="AZ5" s="6" t="s">
        <v>40</v>
      </c>
      <c r="BA5" s="26">
        <f t="shared" si="0"/>
        <v>1</v>
      </c>
    </row>
    <row r="6" spans="1:54">
      <c r="A6" s="25">
        <v>5</v>
      </c>
      <c r="B6" s="6" t="s">
        <v>35</v>
      </c>
      <c r="C6" s="6" t="s">
        <v>80</v>
      </c>
      <c r="D6" s="6" t="s">
        <v>97</v>
      </c>
      <c r="E6" s="6" t="s">
        <v>83</v>
      </c>
      <c r="F6" s="6" t="s">
        <v>84</v>
      </c>
      <c r="G6" s="6">
        <v>49665449</v>
      </c>
      <c r="H6" s="6" t="s">
        <v>40</v>
      </c>
      <c r="I6" s="6" t="s">
        <v>40</v>
      </c>
      <c r="J6" s="6" t="s">
        <v>40</v>
      </c>
      <c r="K6" s="6" t="s">
        <v>40</v>
      </c>
      <c r="L6" s="6" t="s">
        <v>40</v>
      </c>
      <c r="M6" s="8" t="s">
        <v>40</v>
      </c>
      <c r="N6" s="13" t="s">
        <v>40</v>
      </c>
      <c r="O6" s="6" t="s">
        <v>40</v>
      </c>
      <c r="P6" s="6" t="s">
        <v>40</v>
      </c>
      <c r="Q6" s="6" t="s">
        <v>40</v>
      </c>
      <c r="R6" s="6" t="s">
        <v>40</v>
      </c>
      <c r="S6" s="6" t="s">
        <v>40</v>
      </c>
      <c r="T6" s="26">
        <f t="shared" si="1"/>
        <v>1</v>
      </c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 t="s">
        <v>47</v>
      </c>
      <c r="AL6" s="6" t="s">
        <v>98</v>
      </c>
      <c r="AM6" s="6" t="s">
        <v>99</v>
      </c>
      <c r="AN6" s="6">
        <v>50142624</v>
      </c>
      <c r="AO6" s="6" t="s">
        <v>40</v>
      </c>
      <c r="AP6" s="6" t="s">
        <v>40</v>
      </c>
      <c r="AQ6" s="6" t="s">
        <v>40</v>
      </c>
      <c r="AR6" s="6" t="s">
        <v>40</v>
      </c>
      <c r="AS6" s="6" t="s">
        <v>40</v>
      </c>
      <c r="AT6" s="8" t="s">
        <v>40</v>
      </c>
      <c r="AU6" s="13" t="s">
        <v>40</v>
      </c>
      <c r="AV6" s="6" t="s">
        <v>40</v>
      </c>
      <c r="AW6" s="6" t="s">
        <v>40</v>
      </c>
      <c r="AX6" s="6" t="s">
        <v>40</v>
      </c>
      <c r="AY6" s="6" t="s">
        <v>40</v>
      </c>
      <c r="AZ6" s="6" t="s">
        <v>40</v>
      </c>
      <c r="BA6" s="26">
        <f t="shared" si="0"/>
        <v>1</v>
      </c>
    </row>
    <row r="7" spans="1:54">
      <c r="A7" s="25">
        <v>6</v>
      </c>
      <c r="B7" s="6" t="s">
        <v>35</v>
      </c>
      <c r="C7" s="6" t="s">
        <v>80</v>
      </c>
      <c r="D7" s="6" t="s">
        <v>100</v>
      </c>
      <c r="E7" s="6" t="s">
        <v>87</v>
      </c>
      <c r="F7" s="6" t="s">
        <v>88</v>
      </c>
      <c r="G7" s="6">
        <v>48790693</v>
      </c>
      <c r="H7" s="6" t="s">
        <v>40</v>
      </c>
      <c r="I7" s="6" t="s">
        <v>40</v>
      </c>
      <c r="J7" s="6" t="s">
        <v>40</v>
      </c>
      <c r="K7" s="6" t="s">
        <v>40</v>
      </c>
      <c r="L7" s="6" t="s">
        <v>40</v>
      </c>
      <c r="M7" s="8" t="s">
        <v>40</v>
      </c>
      <c r="N7" s="13" t="s">
        <v>40</v>
      </c>
      <c r="O7" s="6" t="s">
        <v>40</v>
      </c>
      <c r="P7" s="6" t="s">
        <v>40</v>
      </c>
      <c r="Q7" s="6" t="s">
        <v>40</v>
      </c>
      <c r="R7" s="6" t="s">
        <v>40</v>
      </c>
      <c r="S7" s="6" t="s">
        <v>40</v>
      </c>
      <c r="T7" s="26">
        <f t="shared" si="1"/>
        <v>1</v>
      </c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 t="s">
        <v>47</v>
      </c>
      <c r="AL7" s="6" t="s">
        <v>101</v>
      </c>
      <c r="AM7" s="6" t="s">
        <v>102</v>
      </c>
      <c r="AN7" s="6">
        <v>49892628</v>
      </c>
      <c r="AO7" s="6" t="s">
        <v>40</v>
      </c>
      <c r="AP7" s="6" t="s">
        <v>40</v>
      </c>
      <c r="AQ7" s="6" t="s">
        <v>40</v>
      </c>
      <c r="AR7" s="6" t="s">
        <v>40</v>
      </c>
      <c r="AS7" s="6" t="s">
        <v>40</v>
      </c>
      <c r="AT7" s="8" t="s">
        <v>40</v>
      </c>
      <c r="AU7" s="13" t="s">
        <v>40</v>
      </c>
      <c r="AV7" s="6" t="s">
        <v>40</v>
      </c>
      <c r="AW7" s="6" t="s">
        <v>41</v>
      </c>
      <c r="AX7" s="6" t="s">
        <v>40</v>
      </c>
      <c r="AY7" s="6" t="s">
        <v>40</v>
      </c>
      <c r="AZ7" s="6" t="s">
        <v>40</v>
      </c>
      <c r="BA7" s="26">
        <f t="shared" si="0"/>
        <v>0.91666666666666663</v>
      </c>
    </row>
    <row r="8" spans="1:54">
      <c r="A8" s="25">
        <v>7</v>
      </c>
      <c r="B8" s="6" t="s">
        <v>35</v>
      </c>
      <c r="C8" s="6" t="s">
        <v>80</v>
      </c>
      <c r="D8" s="6" t="s">
        <v>48</v>
      </c>
      <c r="E8" s="6" t="s">
        <v>91</v>
      </c>
      <c r="F8" s="6" t="s">
        <v>92</v>
      </c>
      <c r="G8" s="6">
        <v>50094945</v>
      </c>
      <c r="H8" s="6" t="s">
        <v>40</v>
      </c>
      <c r="I8" s="6" t="s">
        <v>40</v>
      </c>
      <c r="J8" s="6" t="s">
        <v>40</v>
      </c>
      <c r="K8" s="6" t="s">
        <v>40</v>
      </c>
      <c r="L8" s="6" t="s">
        <v>40</v>
      </c>
      <c r="M8" s="8" t="s">
        <v>40</v>
      </c>
      <c r="N8" s="13" t="s">
        <v>40</v>
      </c>
      <c r="O8" s="6" t="s">
        <v>40</v>
      </c>
      <c r="P8" s="6" t="s">
        <v>40</v>
      </c>
      <c r="Q8" s="6" t="s">
        <v>40</v>
      </c>
      <c r="R8" s="6" t="s">
        <v>40</v>
      </c>
      <c r="S8" s="6" t="s">
        <v>40</v>
      </c>
      <c r="T8" s="26">
        <f t="shared" si="1"/>
        <v>1</v>
      </c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L8" s="6" t="s">
        <v>103</v>
      </c>
      <c r="AM8" s="6" t="s">
        <v>104</v>
      </c>
      <c r="AN8" s="6">
        <v>50368343</v>
      </c>
      <c r="AO8" s="6" t="s">
        <v>40</v>
      </c>
      <c r="AP8" s="6" t="s">
        <v>40</v>
      </c>
      <c r="AQ8" s="6" t="s">
        <v>40</v>
      </c>
      <c r="AR8" s="6" t="s">
        <v>40</v>
      </c>
      <c r="AS8" s="6" t="s">
        <v>40</v>
      </c>
      <c r="AT8" s="8" t="s">
        <v>40</v>
      </c>
      <c r="AU8" s="13" t="s">
        <v>40</v>
      </c>
      <c r="AV8" s="6" t="s">
        <v>40</v>
      </c>
      <c r="AW8" s="6" t="s">
        <v>40</v>
      </c>
      <c r="AX8" s="6" t="s">
        <v>40</v>
      </c>
      <c r="AY8" s="6" t="s">
        <v>40</v>
      </c>
      <c r="AZ8" s="6" t="s">
        <v>40</v>
      </c>
      <c r="BA8" s="26">
        <f t="shared" si="0"/>
        <v>1</v>
      </c>
      <c r="BB8" t="s">
        <v>47</v>
      </c>
    </row>
    <row r="9" spans="1:54">
      <c r="A9" s="25">
        <v>8</v>
      </c>
      <c r="B9" s="6" t="s">
        <v>35</v>
      </c>
      <c r="C9" s="6" t="s">
        <v>80</v>
      </c>
      <c r="D9" s="6" t="s">
        <v>48</v>
      </c>
      <c r="E9" s="6" t="s">
        <v>95</v>
      </c>
      <c r="F9" s="6" t="s">
        <v>96</v>
      </c>
      <c r="G9" s="6">
        <v>49665460</v>
      </c>
      <c r="H9" s="6" t="s">
        <v>40</v>
      </c>
      <c r="I9" s="6" t="s">
        <v>40</v>
      </c>
      <c r="J9" s="6" t="s">
        <v>40</v>
      </c>
      <c r="K9" s="6" t="s">
        <v>40</v>
      </c>
      <c r="L9" s="6" t="s">
        <v>40</v>
      </c>
      <c r="M9" s="8" t="s">
        <v>40</v>
      </c>
      <c r="N9" s="13" t="s">
        <v>40</v>
      </c>
      <c r="O9" s="6" t="s">
        <v>40</v>
      </c>
      <c r="P9" s="6" t="s">
        <v>40</v>
      </c>
      <c r="Q9" s="6" t="s">
        <v>40</v>
      </c>
      <c r="R9" s="6" t="s">
        <v>40</v>
      </c>
      <c r="S9" s="6" t="s">
        <v>40</v>
      </c>
      <c r="T9" s="26">
        <f t="shared" si="1"/>
        <v>1</v>
      </c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L9" s="6" t="s">
        <v>105</v>
      </c>
      <c r="AM9" s="6" t="s">
        <v>106</v>
      </c>
      <c r="AN9" s="6">
        <v>49413117</v>
      </c>
      <c r="AO9" s="6" t="s">
        <v>40</v>
      </c>
      <c r="AP9" s="6" t="s">
        <v>40</v>
      </c>
      <c r="AQ9" s="6" t="s">
        <v>40</v>
      </c>
      <c r="AR9" s="6" t="s">
        <v>40</v>
      </c>
      <c r="AS9" s="6" t="s">
        <v>40</v>
      </c>
      <c r="AT9" s="8" t="s">
        <v>40</v>
      </c>
      <c r="AU9" s="13" t="s">
        <v>40</v>
      </c>
      <c r="AV9" s="6" t="s">
        <v>40</v>
      </c>
      <c r="AW9" s="6" t="s">
        <v>40</v>
      </c>
      <c r="AX9" s="6" t="s">
        <v>40</v>
      </c>
      <c r="AY9" s="6" t="s">
        <v>40</v>
      </c>
      <c r="AZ9" s="6" t="s">
        <v>40</v>
      </c>
      <c r="BA9" s="26">
        <f t="shared" si="0"/>
        <v>1</v>
      </c>
    </row>
    <row r="10" spans="1:54">
      <c r="A10" s="25">
        <v>9</v>
      </c>
      <c r="B10" s="6" t="s">
        <v>35</v>
      </c>
      <c r="C10" s="6" t="s">
        <v>80</v>
      </c>
      <c r="D10" s="6" t="s">
        <v>48</v>
      </c>
      <c r="E10" s="6" t="s">
        <v>98</v>
      </c>
      <c r="F10" s="6" t="s">
        <v>99</v>
      </c>
      <c r="G10" s="6">
        <v>50142624</v>
      </c>
      <c r="H10" s="6" t="s">
        <v>40</v>
      </c>
      <c r="I10" s="6" t="s">
        <v>40</v>
      </c>
      <c r="J10" s="6" t="s">
        <v>40</v>
      </c>
      <c r="K10" s="6" t="s">
        <v>40</v>
      </c>
      <c r="L10" s="6" t="s">
        <v>40</v>
      </c>
      <c r="M10" s="8" t="s">
        <v>40</v>
      </c>
      <c r="N10" s="13" t="s">
        <v>40</v>
      </c>
      <c r="O10" s="6" t="s">
        <v>40</v>
      </c>
      <c r="P10" s="6" t="s">
        <v>40</v>
      </c>
      <c r="Q10" s="6" t="s">
        <v>40</v>
      </c>
      <c r="R10" s="6" t="s">
        <v>40</v>
      </c>
      <c r="S10" s="6" t="s">
        <v>40</v>
      </c>
      <c r="T10" s="26">
        <f t="shared" si="1"/>
        <v>1</v>
      </c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L10" s="6" t="s">
        <v>107</v>
      </c>
      <c r="AM10" s="6" t="s">
        <v>108</v>
      </c>
      <c r="AN10" s="6">
        <v>50027151</v>
      </c>
      <c r="AO10" s="6" t="s">
        <v>40</v>
      </c>
      <c r="AP10" s="6" t="s">
        <v>40</v>
      </c>
      <c r="AQ10" s="6" t="s">
        <v>40</v>
      </c>
      <c r="AR10" s="6" t="s">
        <v>40</v>
      </c>
      <c r="AS10" s="6" t="s">
        <v>40</v>
      </c>
      <c r="AT10" s="8" t="s">
        <v>40</v>
      </c>
      <c r="AU10" s="13" t="s">
        <v>40</v>
      </c>
      <c r="AV10" s="6" t="s">
        <v>40</v>
      </c>
      <c r="AW10" s="6" t="s">
        <v>40</v>
      </c>
      <c r="AX10" s="6" t="s">
        <v>40</v>
      </c>
      <c r="AY10" s="6" t="s">
        <v>40</v>
      </c>
      <c r="AZ10" s="6" t="s">
        <v>40</v>
      </c>
      <c r="BA10" s="26">
        <f t="shared" si="0"/>
        <v>1</v>
      </c>
      <c r="BB10" t="s">
        <v>47</v>
      </c>
    </row>
    <row r="11" spans="1:54">
      <c r="A11" s="25">
        <v>10</v>
      </c>
      <c r="B11" s="6" t="s">
        <v>35</v>
      </c>
      <c r="C11" s="6" t="s">
        <v>80</v>
      </c>
      <c r="D11" s="6" t="s">
        <v>53</v>
      </c>
      <c r="E11" s="6" t="s">
        <v>101</v>
      </c>
      <c r="F11" s="6" t="s">
        <v>102</v>
      </c>
      <c r="G11" s="6">
        <v>49892628</v>
      </c>
      <c r="H11" s="6" t="s">
        <v>40</v>
      </c>
      <c r="I11" s="6" t="s">
        <v>40</v>
      </c>
      <c r="J11" s="6" t="s">
        <v>40</v>
      </c>
      <c r="K11" s="6" t="s">
        <v>40</v>
      </c>
      <c r="L11" s="6" t="s">
        <v>40</v>
      </c>
      <c r="M11" s="8" t="s">
        <v>40</v>
      </c>
      <c r="N11" s="13" t="s">
        <v>40</v>
      </c>
      <c r="O11" s="6" t="s">
        <v>40</v>
      </c>
      <c r="P11" s="6" t="s">
        <v>41</v>
      </c>
      <c r="Q11" s="6" t="s">
        <v>40</v>
      </c>
      <c r="R11" s="6" t="s">
        <v>40</v>
      </c>
      <c r="S11" s="6" t="s">
        <v>40</v>
      </c>
      <c r="T11" s="26">
        <f t="shared" si="1"/>
        <v>0.91666666666666663</v>
      </c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L11" s="6" t="s">
        <v>109</v>
      </c>
      <c r="AM11" s="6" t="s">
        <v>110</v>
      </c>
      <c r="AN11" s="6">
        <v>49245162</v>
      </c>
      <c r="AO11" s="6" t="s">
        <v>40</v>
      </c>
      <c r="AP11" s="6" t="s">
        <v>40</v>
      </c>
      <c r="AQ11" s="6" t="s">
        <v>40</v>
      </c>
      <c r="AR11" s="6" t="s">
        <v>40</v>
      </c>
      <c r="AS11" s="6" t="s">
        <v>40</v>
      </c>
      <c r="AT11" s="8" t="s">
        <v>40</v>
      </c>
      <c r="AU11" s="13" t="s">
        <v>40</v>
      </c>
      <c r="AV11" s="6" t="s">
        <v>40</v>
      </c>
      <c r="AW11" s="6" t="s">
        <v>40</v>
      </c>
      <c r="AX11" s="6" t="s">
        <v>40</v>
      </c>
      <c r="AY11" s="6" t="s">
        <v>40</v>
      </c>
      <c r="AZ11" s="6" t="s">
        <v>40</v>
      </c>
      <c r="BA11" s="26">
        <f t="shared" si="0"/>
        <v>1</v>
      </c>
      <c r="BB11" t="s">
        <v>47</v>
      </c>
    </row>
    <row r="12" spans="1:54">
      <c r="A12" s="25">
        <v>11</v>
      </c>
      <c r="B12" s="6" t="s">
        <v>35</v>
      </c>
      <c r="C12" s="6" t="s">
        <v>80</v>
      </c>
      <c r="D12" s="6" t="s">
        <v>53</v>
      </c>
      <c r="E12" s="6" t="s">
        <v>103</v>
      </c>
      <c r="F12" s="6" t="s">
        <v>104</v>
      </c>
      <c r="G12" s="6">
        <v>50368343</v>
      </c>
      <c r="H12" s="6" t="s">
        <v>40</v>
      </c>
      <c r="I12" s="6" t="s">
        <v>40</v>
      </c>
      <c r="J12" s="6" t="s">
        <v>40</v>
      </c>
      <c r="K12" s="6" t="s">
        <v>40</v>
      </c>
      <c r="L12" s="6" t="s">
        <v>40</v>
      </c>
      <c r="M12" s="8" t="s">
        <v>40</v>
      </c>
      <c r="N12" s="13" t="s">
        <v>40</v>
      </c>
      <c r="O12" s="6" t="s">
        <v>40</v>
      </c>
      <c r="P12" s="6" t="s">
        <v>40</v>
      </c>
      <c r="Q12" s="6" t="s">
        <v>40</v>
      </c>
      <c r="R12" s="6" t="s">
        <v>40</v>
      </c>
      <c r="S12" s="6" t="s">
        <v>40</v>
      </c>
      <c r="T12" s="26">
        <f t="shared" si="1"/>
        <v>1</v>
      </c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 t="s">
        <v>47</v>
      </c>
      <c r="AL12" s="6" t="s">
        <v>111</v>
      </c>
      <c r="AM12" s="6" t="s">
        <v>112</v>
      </c>
      <c r="AN12" s="6">
        <v>49413170</v>
      </c>
      <c r="AO12" s="6" t="s">
        <v>40</v>
      </c>
      <c r="AP12" s="6" t="s">
        <v>40</v>
      </c>
      <c r="AQ12" s="6" t="s">
        <v>40</v>
      </c>
      <c r="AR12" s="6" t="s">
        <v>40</v>
      </c>
      <c r="AS12" s="6" t="s">
        <v>40</v>
      </c>
      <c r="AT12" s="8" t="s">
        <v>40</v>
      </c>
      <c r="AU12" s="13" t="s">
        <v>40</v>
      </c>
      <c r="AV12" s="6" t="s">
        <v>40</v>
      </c>
      <c r="AW12" s="6" t="s">
        <v>40</v>
      </c>
      <c r="AX12" s="6" t="s">
        <v>40</v>
      </c>
      <c r="AY12" s="6" t="s">
        <v>40</v>
      </c>
      <c r="AZ12" s="6" t="s">
        <v>40</v>
      </c>
      <c r="BA12" s="26">
        <f t="shared" si="0"/>
        <v>1</v>
      </c>
      <c r="BB12" t="s">
        <v>47</v>
      </c>
    </row>
    <row r="13" spans="1:54">
      <c r="A13" s="25">
        <v>12</v>
      </c>
      <c r="B13" s="6" t="s">
        <v>35</v>
      </c>
      <c r="C13" s="6" t="s">
        <v>80</v>
      </c>
      <c r="D13" s="6" t="s">
        <v>53</v>
      </c>
      <c r="E13" s="6" t="s">
        <v>105</v>
      </c>
      <c r="F13" s="6" t="s">
        <v>106</v>
      </c>
      <c r="G13" s="6">
        <v>49413117</v>
      </c>
      <c r="H13" s="6" t="s">
        <v>40</v>
      </c>
      <c r="I13" s="6" t="s">
        <v>40</v>
      </c>
      <c r="J13" s="6" t="s">
        <v>40</v>
      </c>
      <c r="K13" s="6" t="s">
        <v>40</v>
      </c>
      <c r="L13" s="6" t="s">
        <v>40</v>
      </c>
      <c r="M13" s="8" t="s">
        <v>40</v>
      </c>
      <c r="N13" s="13" t="s">
        <v>40</v>
      </c>
      <c r="O13" s="6" t="s">
        <v>40</v>
      </c>
      <c r="P13" s="6" t="s">
        <v>40</v>
      </c>
      <c r="Q13" s="6" t="s">
        <v>40</v>
      </c>
      <c r="R13" s="6" t="s">
        <v>40</v>
      </c>
      <c r="S13" s="6" t="s">
        <v>40</v>
      </c>
      <c r="T13" s="26">
        <f t="shared" si="1"/>
        <v>1</v>
      </c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L13" s="6" t="s">
        <v>113</v>
      </c>
      <c r="AM13" s="6" t="s">
        <v>114</v>
      </c>
      <c r="AN13" s="6">
        <v>49892604</v>
      </c>
      <c r="AO13" s="6" t="s">
        <v>40</v>
      </c>
      <c r="AP13" s="6" t="s">
        <v>40</v>
      </c>
      <c r="AQ13" s="6" t="s">
        <v>40</v>
      </c>
      <c r="AR13" s="6" t="s">
        <v>40</v>
      </c>
      <c r="AS13" s="6" t="s">
        <v>40</v>
      </c>
      <c r="AT13" s="8" t="s">
        <v>40</v>
      </c>
      <c r="AU13" s="13" t="s">
        <v>40</v>
      </c>
      <c r="AV13" s="6" t="s">
        <v>40</v>
      </c>
      <c r="AW13" s="6" t="s">
        <v>40</v>
      </c>
      <c r="AX13" s="6" t="s">
        <v>40</v>
      </c>
      <c r="AY13" s="6" t="s">
        <v>40</v>
      </c>
      <c r="AZ13" s="6" t="s">
        <v>40</v>
      </c>
      <c r="BA13" s="26">
        <f t="shared" si="0"/>
        <v>1</v>
      </c>
    </row>
    <row r="14" spans="1:54">
      <c r="A14" s="25">
        <v>13</v>
      </c>
      <c r="B14" s="6" t="s">
        <v>35</v>
      </c>
      <c r="C14" s="6" t="s">
        <v>80</v>
      </c>
      <c r="D14" s="6" t="s">
        <v>97</v>
      </c>
      <c r="E14" s="6" t="s">
        <v>107</v>
      </c>
      <c r="F14" s="6" t="s">
        <v>108</v>
      </c>
      <c r="G14" s="6">
        <v>50027151</v>
      </c>
      <c r="H14" s="6" t="s">
        <v>40</v>
      </c>
      <c r="I14" s="6" t="s">
        <v>40</v>
      </c>
      <c r="J14" s="6" t="s">
        <v>40</v>
      </c>
      <c r="K14" s="6" t="s">
        <v>40</v>
      </c>
      <c r="L14" s="6" t="s">
        <v>40</v>
      </c>
      <c r="M14" s="8" t="s">
        <v>40</v>
      </c>
      <c r="N14" s="13" t="s">
        <v>40</v>
      </c>
      <c r="O14" s="6" t="s">
        <v>40</v>
      </c>
      <c r="P14" s="6" t="s">
        <v>40</v>
      </c>
      <c r="Q14" s="6" t="s">
        <v>40</v>
      </c>
      <c r="R14" s="6" t="s">
        <v>40</v>
      </c>
      <c r="S14" s="6" t="s">
        <v>40</v>
      </c>
      <c r="T14" s="26">
        <f t="shared" si="1"/>
        <v>1</v>
      </c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 t="s">
        <v>47</v>
      </c>
      <c r="AL14" s="6" t="s">
        <v>115</v>
      </c>
      <c r="AM14" s="6" t="s">
        <v>116</v>
      </c>
      <c r="AN14" s="6">
        <v>48981562</v>
      </c>
      <c r="AO14" s="6" t="s">
        <v>40</v>
      </c>
      <c r="AP14" s="6" t="s">
        <v>40</v>
      </c>
      <c r="AQ14" s="6" t="s">
        <v>40</v>
      </c>
      <c r="AR14" s="6" t="s">
        <v>40</v>
      </c>
      <c r="AS14" s="6" t="s">
        <v>40</v>
      </c>
      <c r="AT14" s="8" t="s">
        <v>40</v>
      </c>
      <c r="AU14" s="13" t="s">
        <v>40</v>
      </c>
      <c r="AV14" s="6" t="s">
        <v>40</v>
      </c>
      <c r="AW14" s="6" t="s">
        <v>40</v>
      </c>
      <c r="AX14" s="6" t="s">
        <v>40</v>
      </c>
      <c r="AY14" s="6" t="s">
        <v>40</v>
      </c>
      <c r="AZ14" s="6" t="s">
        <v>40</v>
      </c>
      <c r="BA14" s="26">
        <f t="shared" si="0"/>
        <v>1</v>
      </c>
      <c r="BB14" t="s">
        <v>117</v>
      </c>
    </row>
    <row r="15" spans="1:54">
      <c r="A15" s="25">
        <v>14</v>
      </c>
      <c r="B15" s="6" t="s">
        <v>35</v>
      </c>
      <c r="C15" s="6" t="s">
        <v>80</v>
      </c>
      <c r="D15" s="6" t="s">
        <v>100</v>
      </c>
      <c r="E15" s="6" t="s">
        <v>109</v>
      </c>
      <c r="F15" s="6" t="s">
        <v>110</v>
      </c>
      <c r="G15" s="6">
        <v>49245162</v>
      </c>
      <c r="H15" s="6" t="s">
        <v>40</v>
      </c>
      <c r="I15" s="6" t="s">
        <v>40</v>
      </c>
      <c r="J15" s="6" t="s">
        <v>40</v>
      </c>
      <c r="K15" s="6" t="s">
        <v>40</v>
      </c>
      <c r="L15" s="6" t="s">
        <v>40</v>
      </c>
      <c r="M15" s="8" t="s">
        <v>40</v>
      </c>
      <c r="N15" s="13" t="s">
        <v>40</v>
      </c>
      <c r="O15" s="6" t="s">
        <v>40</v>
      </c>
      <c r="P15" s="6" t="s">
        <v>40</v>
      </c>
      <c r="Q15" s="6" t="s">
        <v>40</v>
      </c>
      <c r="R15" s="6" t="s">
        <v>40</v>
      </c>
      <c r="S15" s="6" t="s">
        <v>40</v>
      </c>
      <c r="T15" s="26">
        <f t="shared" si="1"/>
        <v>1</v>
      </c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 t="s">
        <v>47</v>
      </c>
    </row>
    <row r="16" spans="1:54">
      <c r="A16" s="25">
        <v>15</v>
      </c>
      <c r="B16" s="6" t="s">
        <v>35</v>
      </c>
      <c r="C16" s="6" t="s">
        <v>80</v>
      </c>
      <c r="D16" s="6" t="s">
        <v>48</v>
      </c>
      <c r="E16" s="6" t="s">
        <v>111</v>
      </c>
      <c r="F16" s="6" t="s">
        <v>112</v>
      </c>
      <c r="G16" s="6">
        <v>49413170</v>
      </c>
      <c r="H16" s="6" t="s">
        <v>40</v>
      </c>
      <c r="I16" s="6" t="s">
        <v>40</v>
      </c>
      <c r="J16" s="6" t="s">
        <v>40</v>
      </c>
      <c r="K16" s="6" t="s">
        <v>40</v>
      </c>
      <c r="L16" s="6" t="s">
        <v>40</v>
      </c>
      <c r="M16" s="8" t="s">
        <v>40</v>
      </c>
      <c r="N16" s="13" t="s">
        <v>40</v>
      </c>
      <c r="O16" s="6" t="s">
        <v>40</v>
      </c>
      <c r="P16" s="6" t="s">
        <v>40</v>
      </c>
      <c r="Q16" s="6" t="s">
        <v>40</v>
      </c>
      <c r="R16" s="6" t="s">
        <v>40</v>
      </c>
      <c r="S16" s="6" t="s">
        <v>40</v>
      </c>
      <c r="T16" s="26">
        <f t="shared" si="1"/>
        <v>1</v>
      </c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 t="s">
        <v>47</v>
      </c>
    </row>
    <row r="17" spans="1:36">
      <c r="A17" s="25">
        <v>16</v>
      </c>
      <c r="B17" s="6" t="s">
        <v>35</v>
      </c>
      <c r="C17" s="6" t="s">
        <v>80</v>
      </c>
      <c r="D17" s="6" t="s">
        <v>97</v>
      </c>
      <c r="E17" s="6" t="s">
        <v>113</v>
      </c>
      <c r="F17" s="6" t="s">
        <v>114</v>
      </c>
      <c r="G17" s="6">
        <v>49892604</v>
      </c>
      <c r="H17" s="6" t="s">
        <v>40</v>
      </c>
      <c r="I17" s="6" t="s">
        <v>40</v>
      </c>
      <c r="J17" s="6" t="s">
        <v>40</v>
      </c>
      <c r="K17" s="6" t="s">
        <v>40</v>
      </c>
      <c r="L17" s="6" t="s">
        <v>40</v>
      </c>
      <c r="M17" s="8" t="s">
        <v>40</v>
      </c>
      <c r="N17" s="13" t="s">
        <v>40</v>
      </c>
      <c r="O17" s="6" t="s">
        <v>40</v>
      </c>
      <c r="P17" s="6" t="s">
        <v>40</v>
      </c>
      <c r="Q17" s="6" t="s">
        <v>40</v>
      </c>
      <c r="R17" s="6" t="s">
        <v>40</v>
      </c>
      <c r="S17" s="6" t="s">
        <v>40</v>
      </c>
      <c r="T17" s="26">
        <f t="shared" si="1"/>
        <v>1</v>
      </c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</row>
    <row r="18" spans="1:36">
      <c r="A18" s="25">
        <v>17</v>
      </c>
      <c r="B18" s="6" t="s">
        <v>35</v>
      </c>
      <c r="C18" s="6" t="s">
        <v>80</v>
      </c>
      <c r="D18" s="6" t="s">
        <v>100</v>
      </c>
      <c r="E18" s="6" t="s">
        <v>115</v>
      </c>
      <c r="F18" s="6" t="s">
        <v>116</v>
      </c>
      <c r="G18" s="6">
        <v>48981562</v>
      </c>
      <c r="H18" s="6" t="s">
        <v>40</v>
      </c>
      <c r="I18" s="6" t="s">
        <v>40</v>
      </c>
      <c r="J18" s="6" t="s">
        <v>40</v>
      </c>
      <c r="K18" s="6" t="s">
        <v>40</v>
      </c>
      <c r="L18" s="6" t="s">
        <v>40</v>
      </c>
      <c r="M18" s="8" t="s">
        <v>40</v>
      </c>
      <c r="N18" s="13" t="s">
        <v>40</v>
      </c>
      <c r="O18" s="6" t="s">
        <v>40</v>
      </c>
      <c r="P18" s="6" t="s">
        <v>40</v>
      </c>
      <c r="Q18" s="6" t="s">
        <v>40</v>
      </c>
      <c r="R18" s="6" t="s">
        <v>40</v>
      </c>
      <c r="S18" s="6" t="s">
        <v>40</v>
      </c>
      <c r="T18" s="26">
        <f t="shared" si="1"/>
        <v>1</v>
      </c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 t="s">
        <v>117</v>
      </c>
      <c r="AJ18" t="s">
        <v>118</v>
      </c>
    </row>
    <row r="19" spans="1:36">
      <c r="A19" s="27">
        <v>18</v>
      </c>
      <c r="B19" s="28" t="s">
        <v>35</v>
      </c>
      <c r="C19" s="28" t="s">
        <v>80</v>
      </c>
      <c r="D19" s="28" t="s">
        <v>100</v>
      </c>
      <c r="E19" s="28" t="s">
        <v>119</v>
      </c>
      <c r="F19" s="28" t="s">
        <v>120</v>
      </c>
      <c r="G19" s="28">
        <v>48790635</v>
      </c>
      <c r="H19" s="28" t="s">
        <v>40</v>
      </c>
      <c r="I19" s="28" t="s">
        <v>40</v>
      </c>
      <c r="J19" s="28" t="s">
        <v>40</v>
      </c>
      <c r="K19" s="28" t="s">
        <v>40</v>
      </c>
      <c r="L19" s="28" t="s">
        <v>40</v>
      </c>
      <c r="M19" s="29" t="s">
        <v>40</v>
      </c>
      <c r="N19" s="14" t="s">
        <v>40</v>
      </c>
      <c r="O19" s="28" t="s">
        <v>40</v>
      </c>
      <c r="P19" s="28" t="s">
        <v>40</v>
      </c>
      <c r="Q19" s="28" t="s">
        <v>40</v>
      </c>
      <c r="R19" s="28" t="s">
        <v>40</v>
      </c>
      <c r="S19" s="28" t="s">
        <v>40</v>
      </c>
      <c r="T19" s="30">
        <f t="shared" si="1"/>
        <v>1</v>
      </c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</row>
    <row r="20" spans="1:36">
      <c r="A20" s="2"/>
      <c r="B20" s="1"/>
      <c r="C20" s="1"/>
      <c r="D20" s="1"/>
      <c r="E20" s="2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</sheetData>
  <autoFilter ref="A1:AH1" xr:uid="{87407165-B3BB-4372-9612-615BDB837A65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B06F3-83FD-415B-9917-7C58AAF516E4}">
  <dimension ref="A1:AB20"/>
  <sheetViews>
    <sheetView workbookViewId="0">
      <pane xSplit="6" ySplit="1" topLeftCell="G2" activePane="bottomRight" state="frozen"/>
      <selection pane="bottomRight" activeCell="Y6" sqref="Y6"/>
      <selection pane="bottomLeft"/>
      <selection pane="topRight"/>
    </sheetView>
  </sheetViews>
  <sheetFormatPr defaultColWidth="11.42578125" defaultRowHeight="15"/>
  <cols>
    <col min="1" max="1" width="13.28515625" bestFit="1" customWidth="1"/>
    <col min="2" max="2" width="13.85546875" bestFit="1" customWidth="1"/>
    <col min="3" max="3" width="12" bestFit="1" customWidth="1"/>
    <col min="4" max="4" width="13" bestFit="1" customWidth="1"/>
    <col min="5" max="5" width="16.28515625" bestFit="1" customWidth="1"/>
    <col min="6" max="6" width="18.5703125" bestFit="1" customWidth="1"/>
    <col min="7" max="7" width="11.28515625" bestFit="1" customWidth="1"/>
    <col min="8" max="8" width="11.140625" bestFit="1" customWidth="1"/>
    <col min="9" max="13" width="13.5703125" bestFit="1" customWidth="1"/>
    <col min="14" max="14" width="20.42578125" bestFit="1" customWidth="1"/>
    <col min="15" max="20" width="9.140625"/>
  </cols>
  <sheetData>
    <row r="1" spans="1:28" ht="70.5">
      <c r="A1" s="18" t="s">
        <v>0</v>
      </c>
      <c r="B1" s="19" t="s">
        <v>1</v>
      </c>
      <c r="C1" s="18" t="s">
        <v>2</v>
      </c>
      <c r="D1" s="19" t="s">
        <v>3</v>
      </c>
      <c r="E1" s="20" t="s">
        <v>4</v>
      </c>
      <c r="F1" s="19" t="s">
        <v>5</v>
      </c>
      <c r="G1" s="18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19</v>
      </c>
      <c r="O1" s="36" t="s">
        <v>21</v>
      </c>
      <c r="P1" s="36" t="s">
        <v>22</v>
      </c>
      <c r="Q1" s="36" t="s">
        <v>23</v>
      </c>
      <c r="R1" s="36" t="s">
        <v>24</v>
      </c>
      <c r="S1" s="36" t="s">
        <v>25</v>
      </c>
      <c r="T1" s="36" t="s">
        <v>26</v>
      </c>
      <c r="U1" s="36" t="s">
        <v>27</v>
      </c>
      <c r="V1" s="36" t="s">
        <v>28</v>
      </c>
      <c r="W1" s="36" t="s">
        <v>29</v>
      </c>
      <c r="X1" s="36" t="s">
        <v>30</v>
      </c>
      <c r="Y1" s="36" t="s">
        <v>31</v>
      </c>
      <c r="Z1" s="36" t="s">
        <v>32</v>
      </c>
      <c r="AA1" s="36" t="s">
        <v>33</v>
      </c>
      <c r="AB1" s="36" t="s">
        <v>34</v>
      </c>
    </row>
    <row r="2" spans="1:28">
      <c r="A2" s="21">
        <v>5</v>
      </c>
      <c r="B2" s="22"/>
      <c r="C2" s="22"/>
      <c r="D2" s="22"/>
      <c r="E2" s="22" t="s">
        <v>121</v>
      </c>
      <c r="F2" s="22" t="s">
        <v>122</v>
      </c>
      <c r="G2" s="22"/>
      <c r="H2" s="22" t="s">
        <v>40</v>
      </c>
      <c r="I2" s="22" t="s">
        <v>40</v>
      </c>
      <c r="J2" s="22" t="s">
        <v>40</v>
      </c>
      <c r="K2" s="22" t="s">
        <v>40</v>
      </c>
      <c r="L2" s="23" t="s">
        <v>40</v>
      </c>
      <c r="M2" s="31" t="s">
        <v>40</v>
      </c>
      <c r="N2" s="24">
        <f>COUNTIF(H2:M2,"p")/(COUNTIF(H2:M2,"p")+COUNTIF(H2:M2,"a"))</f>
        <v>1</v>
      </c>
      <c r="O2" s="24"/>
      <c r="P2" s="24"/>
      <c r="Q2" s="24"/>
      <c r="R2" s="24"/>
      <c r="S2" s="24">
        <v>0.85</v>
      </c>
      <c r="T2" s="24"/>
      <c r="U2" s="24">
        <v>0.85</v>
      </c>
      <c r="V2" s="24"/>
      <c r="W2" s="24">
        <v>1</v>
      </c>
      <c r="X2" s="24"/>
      <c r="Y2" s="24">
        <v>0.95</v>
      </c>
      <c r="Z2" s="24"/>
      <c r="AA2" s="24"/>
      <c r="AB2" s="24"/>
    </row>
    <row r="3" spans="1:28">
      <c r="A3" s="25">
        <v>13</v>
      </c>
      <c r="B3" s="6"/>
      <c r="C3" s="6"/>
      <c r="D3" s="6"/>
      <c r="E3" s="6" t="s">
        <v>123</v>
      </c>
      <c r="F3" s="6" t="s">
        <v>124</v>
      </c>
      <c r="G3" s="6"/>
      <c r="H3" s="6" t="s">
        <v>40</v>
      </c>
      <c r="I3" s="6" t="s">
        <v>40</v>
      </c>
      <c r="J3" s="6" t="s">
        <v>40</v>
      </c>
      <c r="K3" s="6" t="s">
        <v>40</v>
      </c>
      <c r="L3" s="8" t="s">
        <v>40</v>
      </c>
      <c r="M3" s="32" t="s">
        <v>41</v>
      </c>
      <c r="N3" s="26">
        <f>COUNTIF(H3:M3,"p")/(COUNTIF(H3:M3,"p")+COUNTIF(H3:M3,"a"))</f>
        <v>0.83333333333333337</v>
      </c>
      <c r="O3" s="24"/>
      <c r="P3" s="24"/>
      <c r="Q3" s="24"/>
      <c r="R3" s="24"/>
      <c r="S3" s="24">
        <v>0.4</v>
      </c>
      <c r="T3" s="24"/>
      <c r="U3" s="24">
        <v>0.35</v>
      </c>
      <c r="V3" s="24"/>
      <c r="W3" s="24">
        <v>0.4</v>
      </c>
      <c r="X3" s="24"/>
      <c r="Y3" s="24"/>
      <c r="Z3" s="24"/>
      <c r="AA3" s="24"/>
      <c r="AB3" s="24"/>
    </row>
    <row r="4" spans="1:28">
      <c r="A4" s="25">
        <v>7</v>
      </c>
      <c r="B4" s="6"/>
      <c r="C4" s="6"/>
      <c r="D4" s="6"/>
      <c r="E4" s="6" t="s">
        <v>125</v>
      </c>
      <c r="F4" s="6" t="s">
        <v>126</v>
      </c>
      <c r="G4" s="6"/>
      <c r="H4" s="6" t="s">
        <v>40</v>
      </c>
      <c r="I4" s="6" t="s">
        <v>40</v>
      </c>
      <c r="J4" s="6" t="s">
        <v>40</v>
      </c>
      <c r="K4" s="6" t="s">
        <v>40</v>
      </c>
      <c r="L4" s="8" t="s">
        <v>40</v>
      </c>
      <c r="M4" s="32" t="s">
        <v>40</v>
      </c>
      <c r="N4" s="26">
        <f>COUNTIF(H4:M4,"p")/(COUNTIF(H4:M4,"p")+COUNTIF(H4:M4,"a"))</f>
        <v>1</v>
      </c>
      <c r="O4" s="24"/>
      <c r="P4" s="24"/>
      <c r="Q4" s="24"/>
      <c r="R4" s="24"/>
      <c r="S4" s="24">
        <v>0.85</v>
      </c>
      <c r="T4" s="24"/>
      <c r="U4" s="24">
        <v>0.65</v>
      </c>
      <c r="V4" s="24"/>
      <c r="W4" s="24">
        <v>1</v>
      </c>
      <c r="X4" s="24"/>
      <c r="Y4" s="24">
        <v>1</v>
      </c>
      <c r="Z4" s="24"/>
      <c r="AA4" s="24"/>
      <c r="AB4" s="24"/>
    </row>
    <row r="5" spans="1:28">
      <c r="A5" s="25">
        <v>10</v>
      </c>
      <c r="B5" s="6"/>
      <c r="C5" s="6"/>
      <c r="D5" s="6"/>
      <c r="E5" s="6" t="s">
        <v>127</v>
      </c>
      <c r="F5" s="6" t="s">
        <v>128</v>
      </c>
      <c r="G5" s="6"/>
      <c r="H5" s="6" t="s">
        <v>40</v>
      </c>
      <c r="I5" s="6" t="s">
        <v>40</v>
      </c>
      <c r="J5" s="6" t="s">
        <v>40</v>
      </c>
      <c r="K5" s="6" t="s">
        <v>40</v>
      </c>
      <c r="L5" s="8" t="s">
        <v>40</v>
      </c>
      <c r="M5" s="32" t="s">
        <v>40</v>
      </c>
      <c r="N5" s="26">
        <f>COUNTIF(H5:M5,"p")/(COUNTIF(H5:M5,"p")+COUNTIF(H5:M5,"a"))</f>
        <v>1</v>
      </c>
      <c r="O5" s="24"/>
      <c r="P5" s="24"/>
      <c r="Q5" s="24"/>
      <c r="R5" s="24"/>
      <c r="S5" s="24">
        <v>0.65</v>
      </c>
      <c r="T5" s="24"/>
      <c r="U5" s="24">
        <v>0.7</v>
      </c>
      <c r="V5" s="24"/>
      <c r="W5" s="24">
        <v>1</v>
      </c>
      <c r="X5" s="24"/>
      <c r="Y5" s="24">
        <v>0</v>
      </c>
      <c r="Z5" s="24"/>
      <c r="AA5" s="24"/>
      <c r="AB5" s="24"/>
    </row>
    <row r="6" spans="1:28">
      <c r="A6" s="25">
        <v>3</v>
      </c>
      <c r="B6" s="6"/>
      <c r="C6" s="6"/>
      <c r="D6" s="6"/>
      <c r="E6" s="6" t="s">
        <v>129</v>
      </c>
      <c r="F6" s="6" t="s">
        <v>130</v>
      </c>
      <c r="G6" s="6"/>
      <c r="H6" s="6" t="s">
        <v>40</v>
      </c>
      <c r="I6" s="6" t="s">
        <v>40</v>
      </c>
      <c r="J6" s="6" t="s">
        <v>40</v>
      </c>
      <c r="K6" s="6" t="s">
        <v>40</v>
      </c>
      <c r="L6" s="8" t="s">
        <v>40</v>
      </c>
      <c r="M6" s="32" t="s">
        <v>40</v>
      </c>
      <c r="N6" s="26">
        <f>COUNTIF(H6:M6,"p")/(COUNTIF(H6:M6,"p")+COUNTIF(H6:M6,"a"))</f>
        <v>1</v>
      </c>
      <c r="O6" s="24"/>
      <c r="P6" s="24"/>
      <c r="Q6" s="24"/>
      <c r="R6" s="24"/>
      <c r="S6" s="24">
        <v>0.65</v>
      </c>
      <c r="T6" s="24"/>
      <c r="U6" s="24">
        <v>0.3</v>
      </c>
      <c r="V6" s="24"/>
      <c r="W6" s="24">
        <v>0.4</v>
      </c>
      <c r="X6" s="24"/>
      <c r="Y6" s="24"/>
      <c r="Z6" s="24"/>
      <c r="AA6" s="24"/>
      <c r="AB6" s="24"/>
    </row>
    <row r="7" spans="1:28">
      <c r="A7" s="25">
        <v>1</v>
      </c>
      <c r="B7" s="6"/>
      <c r="C7" s="6"/>
      <c r="D7" s="6"/>
      <c r="E7" s="6" t="s">
        <v>131</v>
      </c>
      <c r="F7" s="6" t="s">
        <v>132</v>
      </c>
      <c r="G7" s="6"/>
      <c r="H7" s="6" t="s">
        <v>40</v>
      </c>
      <c r="I7" s="6" t="s">
        <v>40</v>
      </c>
      <c r="J7" s="6" t="s">
        <v>40</v>
      </c>
      <c r="K7" s="6" t="s">
        <v>40</v>
      </c>
      <c r="L7" s="8" t="s">
        <v>40</v>
      </c>
      <c r="M7" s="32" t="s">
        <v>40</v>
      </c>
      <c r="N7" s="26">
        <f>COUNTIF(H7:M7,"p")/(COUNTIF(H7:M7,"p")+COUNTIF(H7:M7,"a"))</f>
        <v>1</v>
      </c>
      <c r="O7" s="24"/>
      <c r="P7" s="24"/>
      <c r="Q7" s="24"/>
      <c r="R7" s="24"/>
      <c r="S7" s="24">
        <v>0.3</v>
      </c>
      <c r="T7" s="24"/>
      <c r="U7" s="24">
        <v>0.4</v>
      </c>
      <c r="V7" s="24"/>
      <c r="W7" s="24">
        <v>0.5</v>
      </c>
      <c r="X7" s="24"/>
      <c r="Y7" s="24"/>
      <c r="Z7" s="24"/>
      <c r="AA7" s="24"/>
      <c r="AB7" s="24"/>
    </row>
    <row r="8" spans="1:28">
      <c r="A8" s="25">
        <v>11</v>
      </c>
      <c r="B8" s="6"/>
      <c r="C8" s="6"/>
      <c r="D8" s="6"/>
      <c r="E8" s="6" t="s">
        <v>133</v>
      </c>
      <c r="F8" s="6" t="s">
        <v>134</v>
      </c>
      <c r="G8" s="6"/>
      <c r="H8" s="6" t="s">
        <v>40</v>
      </c>
      <c r="I8" s="6" t="s">
        <v>40</v>
      </c>
      <c r="J8" s="6" t="s">
        <v>40</v>
      </c>
      <c r="K8" s="6" t="s">
        <v>40</v>
      </c>
      <c r="L8" s="8" t="s">
        <v>40</v>
      </c>
      <c r="M8" s="32" t="s">
        <v>40</v>
      </c>
      <c r="N8" s="26">
        <f>COUNTIF(H8:M8,"p")/(COUNTIF(H8:M8,"p")+COUNTIF(H8:M8,"a"))</f>
        <v>1</v>
      </c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</row>
    <row r="9" spans="1:28">
      <c r="A9" s="25">
        <v>16</v>
      </c>
      <c r="B9" s="6"/>
      <c r="C9" s="6"/>
      <c r="D9" s="6"/>
      <c r="E9" s="6" t="s">
        <v>135</v>
      </c>
      <c r="F9" s="6" t="s">
        <v>136</v>
      </c>
      <c r="G9" s="6"/>
      <c r="H9" s="6" t="s">
        <v>40</v>
      </c>
      <c r="I9" s="6" t="s">
        <v>40</v>
      </c>
      <c r="J9" s="6" t="s">
        <v>40</v>
      </c>
      <c r="K9" s="6" t="s">
        <v>40</v>
      </c>
      <c r="L9" s="8" t="s">
        <v>40</v>
      </c>
      <c r="M9" s="32" t="s">
        <v>41</v>
      </c>
      <c r="N9" s="26">
        <f>COUNTIF(H9:M9,"p")/(COUNTIF(H9:M9,"p")+COUNTIF(H9:M9,"a"))</f>
        <v>0.83333333333333337</v>
      </c>
      <c r="O9" s="24" t="s">
        <v>137</v>
      </c>
      <c r="P9" s="24"/>
      <c r="Q9" s="24"/>
      <c r="R9" s="24"/>
      <c r="S9" s="24"/>
      <c r="T9" s="24"/>
      <c r="U9" s="24"/>
      <c r="V9" s="24"/>
      <c r="W9" s="24"/>
      <c r="X9" s="24"/>
      <c r="Y9" s="24">
        <v>0</v>
      </c>
      <c r="Z9" s="24"/>
      <c r="AA9" s="24"/>
      <c r="AB9" s="24"/>
    </row>
    <row r="10" spans="1:28">
      <c r="A10" s="25">
        <v>15</v>
      </c>
      <c r="B10" s="6"/>
      <c r="C10" s="6"/>
      <c r="D10" s="6"/>
      <c r="E10" s="6" t="s">
        <v>138</v>
      </c>
      <c r="F10" s="6" t="s">
        <v>139</v>
      </c>
      <c r="G10" s="6"/>
      <c r="H10" s="6" t="s">
        <v>40</v>
      </c>
      <c r="I10" s="6" t="s">
        <v>40</v>
      </c>
      <c r="J10" s="6" t="s">
        <v>40</v>
      </c>
      <c r="K10" s="6" t="s">
        <v>40</v>
      </c>
      <c r="L10" s="8" t="s">
        <v>40</v>
      </c>
      <c r="M10" s="32" t="s">
        <v>40</v>
      </c>
      <c r="N10" s="26">
        <f>COUNTIF(H10:M10,"p")/(COUNTIF(H10:M10,"p")+COUNTIF(H10:M10,"a"))</f>
        <v>1</v>
      </c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</row>
    <row r="11" spans="1:28">
      <c r="A11" s="25">
        <v>18</v>
      </c>
      <c r="B11" s="6"/>
      <c r="C11" s="6"/>
      <c r="D11" s="6"/>
      <c r="E11" s="6" t="s">
        <v>140</v>
      </c>
      <c r="F11" s="6"/>
      <c r="G11" s="6"/>
      <c r="H11" s="6" t="s">
        <v>40</v>
      </c>
      <c r="I11" s="6" t="s">
        <v>40</v>
      </c>
      <c r="J11" s="6" t="s">
        <v>40</v>
      </c>
      <c r="K11" s="6" t="s">
        <v>41</v>
      </c>
      <c r="L11" s="8" t="s">
        <v>40</v>
      </c>
      <c r="M11" s="32" t="s">
        <v>40</v>
      </c>
      <c r="N11" s="26">
        <f>COUNTIF(H11:M11,"p")/(COUNTIF(H11:M11,"p")+COUNTIF(H11:M11,"a"))</f>
        <v>0.83333333333333337</v>
      </c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</row>
    <row r="12" spans="1:28">
      <c r="A12" s="25">
        <v>2</v>
      </c>
      <c r="B12" s="6"/>
      <c r="C12" s="6"/>
      <c r="D12" s="6"/>
      <c r="E12" s="6" t="s">
        <v>141</v>
      </c>
      <c r="F12" s="6" t="s">
        <v>142</v>
      </c>
      <c r="G12" s="6"/>
      <c r="H12" s="6" t="s">
        <v>40</v>
      </c>
      <c r="I12" s="6" t="s">
        <v>40</v>
      </c>
      <c r="J12" s="6" t="s">
        <v>40</v>
      </c>
      <c r="K12" s="6" t="s">
        <v>40</v>
      </c>
      <c r="L12" s="8" t="s">
        <v>40</v>
      </c>
      <c r="M12" s="32" t="s">
        <v>40</v>
      </c>
      <c r="N12" s="26">
        <f>COUNTIF(H12:M12,"p")/(COUNTIF(H12:M12,"p")+COUNTIF(H12:M12,"a"))</f>
        <v>1</v>
      </c>
      <c r="O12" s="24"/>
      <c r="P12" s="24"/>
      <c r="Q12" s="24"/>
      <c r="R12" s="24"/>
      <c r="S12" s="24">
        <v>1</v>
      </c>
      <c r="T12" s="24"/>
      <c r="U12" s="24">
        <v>0.75</v>
      </c>
      <c r="V12" s="24"/>
      <c r="W12" s="24">
        <v>0.6</v>
      </c>
      <c r="X12" s="24"/>
      <c r="Y12" s="24">
        <v>0.95</v>
      </c>
      <c r="Z12" s="24"/>
      <c r="AA12" s="24"/>
      <c r="AB12" s="24"/>
    </row>
    <row r="13" spans="1:28">
      <c r="A13" s="25">
        <v>12</v>
      </c>
      <c r="B13" s="6"/>
      <c r="C13" s="6"/>
      <c r="D13" s="6"/>
      <c r="E13" s="6" t="s">
        <v>143</v>
      </c>
      <c r="F13" s="6" t="s">
        <v>144</v>
      </c>
      <c r="G13" s="6"/>
      <c r="H13" s="6" t="s">
        <v>40</v>
      </c>
      <c r="I13" s="6" t="s">
        <v>40</v>
      </c>
      <c r="J13" s="6" t="s">
        <v>40</v>
      </c>
      <c r="K13" s="6" t="s">
        <v>40</v>
      </c>
      <c r="L13" s="8" t="s">
        <v>40</v>
      </c>
      <c r="M13" s="32" t="s">
        <v>40</v>
      </c>
      <c r="N13" s="26">
        <f>COUNTIF(H13:M13,"p")/(COUNTIF(H13:M13,"p")+COUNTIF(H13:M13,"a"))</f>
        <v>1</v>
      </c>
      <c r="O13" s="24"/>
      <c r="P13" s="24"/>
      <c r="Q13" s="24"/>
      <c r="R13" s="24"/>
      <c r="S13" s="24">
        <v>0.9</v>
      </c>
      <c r="T13" s="24"/>
      <c r="U13" s="24">
        <v>0.6</v>
      </c>
      <c r="V13" s="24"/>
      <c r="W13" s="24">
        <v>1</v>
      </c>
      <c r="X13" s="24"/>
      <c r="Y13" s="24">
        <v>0.95</v>
      </c>
      <c r="Z13" s="24"/>
      <c r="AA13" s="24"/>
      <c r="AB13" s="24"/>
    </row>
    <row r="14" spans="1:28">
      <c r="A14" s="25">
        <v>9</v>
      </c>
      <c r="B14" s="6"/>
      <c r="C14" s="6"/>
      <c r="D14" s="6"/>
      <c r="E14" s="6" t="s">
        <v>145</v>
      </c>
      <c r="F14" s="6" t="s">
        <v>146</v>
      </c>
      <c r="G14" s="6"/>
      <c r="H14" s="6" t="s">
        <v>40</v>
      </c>
      <c r="I14" s="6" t="s">
        <v>40</v>
      </c>
      <c r="J14" s="6" t="s">
        <v>40</v>
      </c>
      <c r="K14" s="6" t="s">
        <v>40</v>
      </c>
      <c r="L14" s="8" t="s">
        <v>40</v>
      </c>
      <c r="M14" s="32" t="s">
        <v>40</v>
      </c>
      <c r="N14" s="26">
        <f>COUNTIF(H14:M14,"p")/(COUNTIF(H14:M14,"p")+COUNTIF(H14:M14,"a"))</f>
        <v>1</v>
      </c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>
        <v>0</v>
      </c>
      <c r="Z14" s="24"/>
      <c r="AA14" s="24"/>
      <c r="AB14" s="24"/>
    </row>
    <row r="15" spans="1:28">
      <c r="A15" s="25">
        <v>4</v>
      </c>
      <c r="B15" s="6"/>
      <c r="C15" s="6"/>
      <c r="D15" s="6"/>
      <c r="E15" s="6" t="s">
        <v>147</v>
      </c>
      <c r="F15" s="6" t="s">
        <v>148</v>
      </c>
      <c r="G15" s="6"/>
      <c r="H15" s="6" t="s">
        <v>40</v>
      </c>
      <c r="I15" s="6" t="s">
        <v>40</v>
      </c>
      <c r="J15" s="6" t="s">
        <v>40</v>
      </c>
      <c r="K15" s="6" t="s">
        <v>40</v>
      </c>
      <c r="L15" s="8" t="s">
        <v>40</v>
      </c>
      <c r="M15" s="32" t="s">
        <v>40</v>
      </c>
      <c r="N15" s="26">
        <f>COUNTIF(H15:M15,"p")/(COUNTIF(H15:M15,"p")+COUNTIF(H15:M15,"a"))</f>
        <v>1</v>
      </c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</row>
    <row r="16" spans="1:28">
      <c r="A16" s="25">
        <v>6</v>
      </c>
      <c r="B16" s="6"/>
      <c r="C16" s="6"/>
      <c r="D16" s="6"/>
      <c r="E16" s="6" t="s">
        <v>149</v>
      </c>
      <c r="F16" s="6" t="s">
        <v>150</v>
      </c>
      <c r="G16" s="6"/>
      <c r="H16" s="6" t="s">
        <v>40</v>
      </c>
      <c r="I16" s="6" t="s">
        <v>40</v>
      </c>
      <c r="J16" s="6" t="s">
        <v>40</v>
      </c>
      <c r="K16" s="6" t="s">
        <v>40</v>
      </c>
      <c r="L16" s="8" t="s">
        <v>40</v>
      </c>
      <c r="M16" s="32" t="s">
        <v>40</v>
      </c>
      <c r="N16" s="26">
        <f>COUNTIF(H16:M16,"p")/(COUNTIF(H16:M16,"p")+COUNTIF(H16:M16,"a"))</f>
        <v>1</v>
      </c>
      <c r="O16" s="24"/>
      <c r="P16" s="24"/>
      <c r="Q16" s="24"/>
      <c r="R16" s="24"/>
      <c r="S16" s="24">
        <v>0.55000000000000004</v>
      </c>
      <c r="T16" s="24"/>
      <c r="U16" s="24">
        <v>1</v>
      </c>
      <c r="V16" s="24"/>
      <c r="W16" s="24">
        <v>0.8</v>
      </c>
      <c r="X16" s="24"/>
      <c r="Y16" s="24"/>
      <c r="Z16" s="24"/>
      <c r="AA16" s="24"/>
      <c r="AB16" s="24"/>
    </row>
    <row r="17" spans="1:28">
      <c r="A17" s="25">
        <v>8</v>
      </c>
      <c r="B17" s="6"/>
      <c r="C17" s="6"/>
      <c r="D17" s="6"/>
      <c r="E17" s="6" t="s">
        <v>151</v>
      </c>
      <c r="F17" s="6" t="s">
        <v>152</v>
      </c>
      <c r="G17" s="6"/>
      <c r="H17" s="6" t="s">
        <v>40</v>
      </c>
      <c r="I17" s="6" t="s">
        <v>40</v>
      </c>
      <c r="J17" s="6" t="s">
        <v>40</v>
      </c>
      <c r="K17" s="6" t="s">
        <v>40</v>
      </c>
      <c r="L17" s="8" t="s">
        <v>40</v>
      </c>
      <c r="M17" s="32" t="s">
        <v>41</v>
      </c>
      <c r="N17" s="26">
        <f>COUNTIF(H17:M17,"p")/(COUNTIF(H17:M17,"p")+COUNTIF(H17:M17,"a"))</f>
        <v>0.83333333333333337</v>
      </c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</row>
    <row r="18" spans="1:28">
      <c r="A18" s="25">
        <v>17</v>
      </c>
      <c r="B18" s="6"/>
      <c r="C18" s="6"/>
      <c r="D18" s="6"/>
      <c r="E18" s="6" t="s">
        <v>153</v>
      </c>
      <c r="F18" s="6" t="s">
        <v>154</v>
      </c>
      <c r="G18" s="6"/>
      <c r="H18" s="6" t="s">
        <v>40</v>
      </c>
      <c r="I18" s="6" t="s">
        <v>40</v>
      </c>
      <c r="J18" s="6" t="s">
        <v>40</v>
      </c>
      <c r="K18" s="6" t="s">
        <v>40</v>
      </c>
      <c r="L18" s="8" t="s">
        <v>40</v>
      </c>
      <c r="M18" s="32" t="s">
        <v>41</v>
      </c>
      <c r="N18" s="26">
        <f>COUNTIF(H18:M18,"p")/(COUNTIF(H18:M18,"p")+COUNTIF(H18:M18,"a"))</f>
        <v>0.83333333333333337</v>
      </c>
      <c r="O18" s="24"/>
      <c r="P18" s="24"/>
      <c r="Q18" s="24"/>
      <c r="R18" s="24"/>
      <c r="S18" s="24">
        <v>0.75</v>
      </c>
      <c r="T18" s="24"/>
      <c r="U18" s="24">
        <v>0.75</v>
      </c>
      <c r="V18" s="24"/>
      <c r="W18" s="24">
        <v>0.8</v>
      </c>
      <c r="X18" s="24"/>
      <c r="Y18" s="24">
        <v>0.95</v>
      </c>
      <c r="Z18" s="24"/>
      <c r="AA18" s="24"/>
      <c r="AB18" s="24"/>
    </row>
    <row r="19" spans="1:28">
      <c r="A19" s="27">
        <v>14</v>
      </c>
      <c r="B19" s="28"/>
      <c r="C19" s="28"/>
      <c r="D19" s="28"/>
      <c r="E19" s="28" t="s">
        <v>155</v>
      </c>
      <c r="F19" s="28" t="s">
        <v>156</v>
      </c>
      <c r="G19" s="28"/>
      <c r="H19" s="28" t="s">
        <v>40</v>
      </c>
      <c r="I19" s="28" t="s">
        <v>40</v>
      </c>
      <c r="J19" s="28" t="s">
        <v>40</v>
      </c>
      <c r="K19" s="28" t="s">
        <v>40</v>
      </c>
      <c r="L19" s="29" t="s">
        <v>40</v>
      </c>
      <c r="M19" s="33" t="s">
        <v>41</v>
      </c>
      <c r="N19" s="30">
        <f>COUNTIF(H19:M19,"p")/(COUNTIF(H19:M19,"p")+COUNTIF(H19:M19,"a"))</f>
        <v>0.83333333333333337</v>
      </c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</row>
    <row r="20" spans="1:28">
      <c r="A20" s="2"/>
      <c r="B20" s="1"/>
      <c r="C20" s="1"/>
      <c r="D20" s="1"/>
      <c r="E20" s="2"/>
      <c r="F20" s="1"/>
      <c r="G20" s="1"/>
      <c r="H20" s="1"/>
      <c r="I20" s="1"/>
      <c r="J20" s="1"/>
      <c r="K20" s="1"/>
      <c r="L20" s="1"/>
      <c r="M20" s="1"/>
      <c r="N20" s="1"/>
    </row>
  </sheetData>
  <autoFilter ref="A1:AB1" xr:uid="{2B7B06F3-83FD-415B-9917-7C58AAF516E4}">
    <sortState xmlns:xlrd2="http://schemas.microsoft.com/office/spreadsheetml/2017/richdata2" ref="A2:AB19">
      <sortCondition ref="E1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FA139-9F3E-45F9-828D-EF6EEF17B65A}">
  <dimension ref="A1:AB20"/>
  <sheetViews>
    <sheetView workbookViewId="0">
      <pane ySplit="1" topLeftCell="A2" activePane="bottomLeft" state="frozen"/>
      <selection pane="bottomLeft" activeCell="O1" sqref="O1:AB1"/>
    </sheetView>
  </sheetViews>
  <sheetFormatPr defaultColWidth="11.42578125" defaultRowHeight="15"/>
  <cols>
    <col min="1" max="1" width="13.28515625" bestFit="1" customWidth="1"/>
    <col min="2" max="2" width="13.85546875" bestFit="1" customWidth="1"/>
    <col min="3" max="3" width="12" bestFit="1" customWidth="1"/>
    <col min="4" max="4" width="13" bestFit="1" customWidth="1"/>
    <col min="5" max="5" width="16.28515625" bestFit="1" customWidth="1"/>
    <col min="6" max="6" width="18" bestFit="1" customWidth="1"/>
    <col min="7" max="7" width="11.28515625" bestFit="1" customWidth="1"/>
    <col min="8" max="8" width="11.140625" bestFit="1" customWidth="1"/>
    <col min="9" max="13" width="13.5703125" bestFit="1" customWidth="1"/>
    <col min="14" max="14" width="20.42578125" bestFit="1" customWidth="1"/>
    <col min="28" max="28" width="13.85546875" bestFit="1" customWidth="1"/>
  </cols>
  <sheetData>
    <row r="1" spans="1:28" ht="53.25">
      <c r="A1" s="18" t="s">
        <v>0</v>
      </c>
      <c r="B1" s="19" t="s">
        <v>1</v>
      </c>
      <c r="C1" s="18" t="s">
        <v>2</v>
      </c>
      <c r="D1" s="19" t="s">
        <v>3</v>
      </c>
      <c r="E1" s="20" t="s">
        <v>4</v>
      </c>
      <c r="F1" s="19" t="s">
        <v>5</v>
      </c>
      <c r="G1" s="18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19</v>
      </c>
      <c r="O1" s="34" t="s">
        <v>21</v>
      </c>
      <c r="P1" s="34" t="s">
        <v>22</v>
      </c>
      <c r="Q1" s="34" t="s">
        <v>23</v>
      </c>
      <c r="R1" s="34" t="s">
        <v>24</v>
      </c>
      <c r="S1" s="34" t="s">
        <v>25</v>
      </c>
      <c r="T1" s="34" t="s">
        <v>26</v>
      </c>
      <c r="U1" s="34" t="s">
        <v>27</v>
      </c>
      <c r="V1" s="34" t="s">
        <v>28</v>
      </c>
      <c r="W1" s="34" t="s">
        <v>29</v>
      </c>
      <c r="X1" s="34" t="s">
        <v>30</v>
      </c>
      <c r="Y1" s="34" t="s">
        <v>31</v>
      </c>
      <c r="Z1" s="34" t="s">
        <v>32</v>
      </c>
      <c r="AA1" s="34" t="s">
        <v>33</v>
      </c>
      <c r="AB1" s="35" t="s">
        <v>34</v>
      </c>
    </row>
    <row r="2" spans="1:28">
      <c r="A2" s="21">
        <v>1</v>
      </c>
      <c r="B2" s="22" t="s">
        <v>157</v>
      </c>
      <c r="C2" s="22"/>
      <c r="D2" s="22"/>
      <c r="E2" s="22" t="s">
        <v>158</v>
      </c>
      <c r="F2" s="22" t="s">
        <v>159</v>
      </c>
      <c r="G2" s="22"/>
      <c r="H2" s="22" t="s">
        <v>40</v>
      </c>
      <c r="I2" s="22" t="s">
        <v>40</v>
      </c>
      <c r="J2" s="22" t="s">
        <v>40</v>
      </c>
      <c r="K2" s="22" t="s">
        <v>40</v>
      </c>
      <c r="L2" s="23" t="s">
        <v>40</v>
      </c>
      <c r="M2" s="31" t="s">
        <v>40</v>
      </c>
      <c r="N2" s="24">
        <f>COUNTIF(H2:M2,"p")/(COUNTIF(H2:M2,"p")+COUNTIF(H2:M2,"a"))</f>
        <v>1</v>
      </c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</row>
    <row r="3" spans="1:28">
      <c r="A3" s="25">
        <v>2</v>
      </c>
      <c r="B3" s="6" t="s">
        <v>157</v>
      </c>
      <c r="C3" s="6"/>
      <c r="D3" s="6"/>
      <c r="E3" s="6" t="s">
        <v>160</v>
      </c>
      <c r="F3" s="6" t="s">
        <v>161</v>
      </c>
      <c r="G3" s="6"/>
      <c r="H3" s="6" t="s">
        <v>40</v>
      </c>
      <c r="I3" s="6" t="s">
        <v>40</v>
      </c>
      <c r="J3" s="6" t="s">
        <v>40</v>
      </c>
      <c r="K3" s="6" t="s">
        <v>40</v>
      </c>
      <c r="L3" s="8" t="s">
        <v>40</v>
      </c>
      <c r="M3" s="32" t="s">
        <v>40</v>
      </c>
      <c r="N3" s="26">
        <f>COUNTIF(H3:M3,"p")/(COUNTIF(H3:M3,"p")+COUNTIF(H3:M3,"a"))</f>
        <v>1</v>
      </c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</row>
    <row r="4" spans="1:28">
      <c r="A4" s="25">
        <v>3</v>
      </c>
      <c r="B4" s="6" t="s">
        <v>157</v>
      </c>
      <c r="C4" s="6"/>
      <c r="D4" s="6"/>
      <c r="E4" s="6" t="s">
        <v>162</v>
      </c>
      <c r="F4" s="6" t="s">
        <v>163</v>
      </c>
      <c r="G4" s="6"/>
      <c r="H4" s="6" t="s">
        <v>40</v>
      </c>
      <c r="I4" s="6" t="s">
        <v>40</v>
      </c>
      <c r="J4" s="6" t="s">
        <v>40</v>
      </c>
      <c r="K4" s="6" t="s">
        <v>40</v>
      </c>
      <c r="L4" s="8" t="s">
        <v>40</v>
      </c>
      <c r="M4" s="32" t="s">
        <v>40</v>
      </c>
      <c r="N4" s="26">
        <f>COUNTIF(H4:M4,"p")/(COUNTIF(H4:M4,"p")+COUNTIF(H4:M4,"a"))</f>
        <v>1</v>
      </c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</row>
    <row r="5" spans="1:28">
      <c r="A5" s="25">
        <v>4</v>
      </c>
      <c r="B5" s="6" t="s">
        <v>157</v>
      </c>
      <c r="C5" s="6"/>
      <c r="D5" s="6"/>
      <c r="E5" s="6" t="s">
        <v>164</v>
      </c>
      <c r="F5" s="6" t="s">
        <v>106</v>
      </c>
      <c r="G5" s="6"/>
      <c r="H5" s="6" t="s">
        <v>40</v>
      </c>
      <c r="I5" s="6" t="s">
        <v>40</v>
      </c>
      <c r="J5" s="6" t="s">
        <v>40</v>
      </c>
      <c r="K5" s="6" t="s">
        <v>40</v>
      </c>
      <c r="L5" s="8" t="s">
        <v>40</v>
      </c>
      <c r="M5" s="32" t="s">
        <v>40</v>
      </c>
      <c r="N5" s="26">
        <f>COUNTIF(H5:M5,"p")/(COUNTIF(H5:M5,"p")+COUNTIF(H5:M5,"a"))</f>
        <v>1</v>
      </c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</row>
    <row r="6" spans="1:28">
      <c r="A6" s="25">
        <v>5</v>
      </c>
      <c r="B6" s="6" t="s">
        <v>157</v>
      </c>
      <c r="C6" s="6"/>
      <c r="D6" s="6"/>
      <c r="E6" s="6" t="s">
        <v>165</v>
      </c>
      <c r="F6" s="6" t="s">
        <v>166</v>
      </c>
      <c r="G6" s="6"/>
      <c r="H6" s="6" t="s">
        <v>40</v>
      </c>
      <c r="I6" s="6" t="s">
        <v>40</v>
      </c>
      <c r="J6" s="6" t="s">
        <v>40</v>
      </c>
      <c r="K6" s="6" t="s">
        <v>40</v>
      </c>
      <c r="L6" s="8" t="s">
        <v>40</v>
      </c>
      <c r="M6" s="32" t="s">
        <v>40</v>
      </c>
      <c r="N6" s="26">
        <f>COUNTIF(H6:M6,"p")/(COUNTIF(H6:M6,"p")+COUNTIF(H6:M6,"a"))</f>
        <v>1</v>
      </c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</row>
    <row r="7" spans="1:28">
      <c r="A7" s="25">
        <v>6</v>
      </c>
      <c r="B7" s="6" t="s">
        <v>157</v>
      </c>
      <c r="C7" s="6"/>
      <c r="D7" s="6"/>
      <c r="E7" s="6" t="s">
        <v>167</v>
      </c>
      <c r="F7" s="6" t="s">
        <v>168</v>
      </c>
      <c r="G7" s="6"/>
      <c r="H7" s="6" t="s">
        <v>40</v>
      </c>
      <c r="I7" s="6" t="s">
        <v>40</v>
      </c>
      <c r="J7" s="6" t="s">
        <v>40</v>
      </c>
      <c r="K7" s="6" t="s">
        <v>40</v>
      </c>
      <c r="L7" s="8" t="s">
        <v>40</v>
      </c>
      <c r="M7" s="32" t="s">
        <v>40</v>
      </c>
      <c r="N7" s="26">
        <f>COUNTIF(H7:M7,"p")/(COUNTIF(H7:M7,"p")+COUNTIF(H7:M7,"a"))</f>
        <v>1</v>
      </c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</row>
    <row r="8" spans="1:28">
      <c r="A8" s="25">
        <v>7</v>
      </c>
      <c r="B8" s="6" t="s">
        <v>157</v>
      </c>
      <c r="C8" s="6"/>
      <c r="D8" s="6"/>
      <c r="E8" s="6" t="s">
        <v>169</v>
      </c>
      <c r="F8" s="6" t="s">
        <v>170</v>
      </c>
      <c r="G8" s="6"/>
      <c r="H8" s="6" t="s">
        <v>40</v>
      </c>
      <c r="I8" s="6" t="s">
        <v>40</v>
      </c>
      <c r="J8" s="6" t="s">
        <v>40</v>
      </c>
      <c r="K8" s="6" t="s">
        <v>40</v>
      </c>
      <c r="L8" s="8" t="s">
        <v>40</v>
      </c>
      <c r="M8" s="32" t="s">
        <v>40</v>
      </c>
      <c r="N8" s="26">
        <f>COUNTIF(H8:M8,"p")/(COUNTIF(H8:M8,"p")+COUNTIF(H8:M8,"a"))</f>
        <v>1</v>
      </c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 t="s">
        <v>171</v>
      </c>
    </row>
    <row r="9" spans="1:28">
      <c r="A9" s="25">
        <v>8</v>
      </c>
      <c r="B9" s="6" t="s">
        <v>157</v>
      </c>
      <c r="C9" s="6"/>
      <c r="D9" s="6"/>
      <c r="E9" s="6" t="s">
        <v>172</v>
      </c>
      <c r="F9" s="6" t="s">
        <v>173</v>
      </c>
      <c r="G9" s="6"/>
      <c r="H9" s="6" t="s">
        <v>40</v>
      </c>
      <c r="I9" s="6" t="s">
        <v>40</v>
      </c>
      <c r="J9" s="6" t="s">
        <v>40</v>
      </c>
      <c r="K9" s="6" t="s">
        <v>40</v>
      </c>
      <c r="L9" s="8" t="s">
        <v>40</v>
      </c>
      <c r="M9" s="32" t="s">
        <v>40</v>
      </c>
      <c r="N9" s="26">
        <f>COUNTIF(H9:M9,"p")/(COUNTIF(H9:M9,"p")+COUNTIF(H9:M9,"a"))</f>
        <v>1</v>
      </c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</row>
    <row r="10" spans="1:28">
      <c r="A10" s="25">
        <v>9</v>
      </c>
      <c r="B10" s="6" t="s">
        <v>157</v>
      </c>
      <c r="C10" s="6"/>
      <c r="D10" s="6"/>
      <c r="E10" s="6" t="s">
        <v>174</v>
      </c>
      <c r="F10" s="6" t="s">
        <v>175</v>
      </c>
      <c r="G10" s="6"/>
      <c r="H10" s="6" t="s">
        <v>40</v>
      </c>
      <c r="I10" s="6" t="s">
        <v>40</v>
      </c>
      <c r="J10" s="6" t="s">
        <v>40</v>
      </c>
      <c r="K10" s="6" t="s">
        <v>40</v>
      </c>
      <c r="L10" s="8" t="s">
        <v>40</v>
      </c>
      <c r="M10" s="32" t="s">
        <v>40</v>
      </c>
      <c r="N10" s="26">
        <f>COUNTIF(H10:M10,"p")/(COUNTIF(H10:M10,"p")+COUNTIF(H10:M10,"a"))</f>
        <v>1</v>
      </c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 t="s">
        <v>47</v>
      </c>
    </row>
    <row r="11" spans="1:28">
      <c r="A11" s="25">
        <v>10</v>
      </c>
      <c r="B11" s="6" t="s">
        <v>157</v>
      </c>
      <c r="C11" s="6"/>
      <c r="D11" s="6"/>
      <c r="E11" s="6" t="s">
        <v>176</v>
      </c>
      <c r="F11" s="6" t="s">
        <v>177</v>
      </c>
      <c r="G11" s="6"/>
      <c r="H11" s="6" t="s">
        <v>40</v>
      </c>
      <c r="I11" s="6" t="s">
        <v>40</v>
      </c>
      <c r="J11" s="6" t="s">
        <v>40</v>
      </c>
      <c r="K11" s="6" t="s">
        <v>40</v>
      </c>
      <c r="L11" s="8" t="s">
        <v>40</v>
      </c>
      <c r="M11" s="32" t="s">
        <v>40</v>
      </c>
      <c r="N11" s="26">
        <f>COUNTIF(H11:M11,"p")/(COUNTIF(H11:M11,"p")+COUNTIF(H11:M11,"a"))</f>
        <v>1</v>
      </c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</row>
    <row r="12" spans="1:28">
      <c r="A12" s="25">
        <v>11</v>
      </c>
      <c r="B12" s="6" t="s">
        <v>157</v>
      </c>
      <c r="C12" s="6"/>
      <c r="D12" s="6"/>
      <c r="E12" s="6" t="s">
        <v>178</v>
      </c>
      <c r="F12" s="6" t="s">
        <v>179</v>
      </c>
      <c r="G12" s="6"/>
      <c r="H12" s="6" t="s">
        <v>40</v>
      </c>
      <c r="I12" s="6" t="s">
        <v>40</v>
      </c>
      <c r="J12" s="6" t="s">
        <v>40</v>
      </c>
      <c r="K12" s="6" t="s">
        <v>40</v>
      </c>
      <c r="L12" s="8" t="s">
        <v>40</v>
      </c>
      <c r="M12" s="32" t="s">
        <v>40</v>
      </c>
      <c r="N12" s="26">
        <f>COUNTIF(H12:M12,"p")/(COUNTIF(H12:M12,"p")+COUNTIF(H12:M12,"a"))</f>
        <v>1</v>
      </c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</row>
    <row r="13" spans="1:28">
      <c r="A13" s="25">
        <v>12</v>
      </c>
      <c r="B13" s="6" t="s">
        <v>157</v>
      </c>
      <c r="C13" s="6"/>
      <c r="D13" s="6"/>
      <c r="E13" s="6" t="s">
        <v>180</v>
      </c>
      <c r="F13" s="6" t="s">
        <v>166</v>
      </c>
      <c r="G13" s="6"/>
      <c r="H13" s="6" t="s">
        <v>40</v>
      </c>
      <c r="I13" s="6" t="s">
        <v>40</v>
      </c>
      <c r="J13" s="6" t="s">
        <v>40</v>
      </c>
      <c r="K13" s="6" t="s">
        <v>40</v>
      </c>
      <c r="L13" s="8" t="s">
        <v>40</v>
      </c>
      <c r="M13" s="32" t="s">
        <v>40</v>
      </c>
      <c r="N13" s="26">
        <f>COUNTIF(H13:M13,"p")/(COUNTIF(H13:M13,"p")+COUNTIF(H13:M13,"a"))</f>
        <v>1</v>
      </c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</row>
    <row r="14" spans="1:28">
      <c r="A14" s="25">
        <v>13</v>
      </c>
      <c r="B14" s="6" t="s">
        <v>157</v>
      </c>
      <c r="C14" s="6"/>
      <c r="D14" s="6"/>
      <c r="E14" s="6" t="s">
        <v>181</v>
      </c>
      <c r="F14" s="6" t="s">
        <v>182</v>
      </c>
      <c r="G14" s="6"/>
      <c r="H14" s="6" t="s">
        <v>40</v>
      </c>
      <c r="I14" s="6" t="s">
        <v>40</v>
      </c>
      <c r="J14" s="6" t="s">
        <v>40</v>
      </c>
      <c r="K14" s="6" t="s">
        <v>40</v>
      </c>
      <c r="L14" s="8" t="s">
        <v>40</v>
      </c>
      <c r="M14" s="32" t="s">
        <v>40</v>
      </c>
      <c r="N14" s="26">
        <f>COUNTIF(H14:M14,"p")/(COUNTIF(H14:M14,"p")+COUNTIF(H14:M14,"a"))</f>
        <v>1</v>
      </c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</row>
    <row r="15" spans="1:28">
      <c r="A15" s="25">
        <v>14</v>
      </c>
      <c r="B15" s="6" t="s">
        <v>157</v>
      </c>
      <c r="C15" s="6"/>
      <c r="D15" s="6"/>
      <c r="E15" s="6" t="s">
        <v>183</v>
      </c>
      <c r="F15" s="6" t="s">
        <v>71</v>
      </c>
      <c r="G15" s="6"/>
      <c r="H15" s="6" t="s">
        <v>40</v>
      </c>
      <c r="I15" s="6" t="s">
        <v>40</v>
      </c>
      <c r="J15" s="6" t="s">
        <v>40</v>
      </c>
      <c r="K15" s="6" t="s">
        <v>40</v>
      </c>
      <c r="L15" s="8" t="s">
        <v>40</v>
      </c>
      <c r="M15" s="32" t="s">
        <v>40</v>
      </c>
      <c r="N15" s="26">
        <f>COUNTIF(H15:M15,"p")/(COUNTIF(H15:M15,"p")+COUNTIF(H15:M15,"a"))</f>
        <v>1</v>
      </c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 t="s">
        <v>47</v>
      </c>
    </row>
    <row r="16" spans="1:28">
      <c r="A16" s="25">
        <v>15</v>
      </c>
      <c r="B16" s="6" t="s">
        <v>157</v>
      </c>
      <c r="C16" s="6"/>
      <c r="D16" s="6"/>
      <c r="E16" s="6" t="s">
        <v>184</v>
      </c>
      <c r="F16" s="6" t="s">
        <v>185</v>
      </c>
      <c r="G16" s="6"/>
      <c r="H16" s="6" t="s">
        <v>40</v>
      </c>
      <c r="I16" s="6" t="s">
        <v>40</v>
      </c>
      <c r="J16" s="6" t="s">
        <v>40</v>
      </c>
      <c r="K16" s="6" t="s">
        <v>40</v>
      </c>
      <c r="L16" s="8" t="s">
        <v>40</v>
      </c>
      <c r="M16" s="32" t="s">
        <v>40</v>
      </c>
      <c r="N16" s="26">
        <f>COUNTIF(H16:M16,"p")/(COUNTIF(H16:M16,"p")+COUNTIF(H16:M16,"a"))</f>
        <v>1</v>
      </c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 t="s">
        <v>47</v>
      </c>
    </row>
    <row r="17" spans="1:28">
      <c r="A17" s="25">
        <v>16</v>
      </c>
      <c r="B17" s="6" t="s">
        <v>157</v>
      </c>
      <c r="C17" s="6"/>
      <c r="D17" s="6"/>
      <c r="E17" s="6" t="s">
        <v>186</v>
      </c>
      <c r="F17" s="6" t="s">
        <v>187</v>
      </c>
      <c r="G17" s="6"/>
      <c r="H17" s="6" t="s">
        <v>40</v>
      </c>
      <c r="I17" s="6" t="s">
        <v>40</v>
      </c>
      <c r="J17" s="6" t="s">
        <v>40</v>
      </c>
      <c r="K17" s="6" t="s">
        <v>40</v>
      </c>
      <c r="L17" s="8" t="s">
        <v>40</v>
      </c>
      <c r="M17" s="32" t="s">
        <v>40</v>
      </c>
      <c r="N17" s="26">
        <f>COUNTIF(H17:M17,"p")/(COUNTIF(H17:M17,"p")+COUNTIF(H17:M17,"a"))</f>
        <v>1</v>
      </c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</row>
    <row r="18" spans="1:28">
      <c r="A18" s="25">
        <v>17</v>
      </c>
      <c r="B18" s="6" t="s">
        <v>157</v>
      </c>
      <c r="C18" s="6"/>
      <c r="D18" s="6"/>
      <c r="E18" s="6" t="s">
        <v>188</v>
      </c>
      <c r="F18" s="6" t="s">
        <v>189</v>
      </c>
      <c r="G18" s="6"/>
      <c r="H18" s="6" t="s">
        <v>40</v>
      </c>
      <c r="I18" s="6" t="s">
        <v>40</v>
      </c>
      <c r="J18" s="6" t="s">
        <v>40</v>
      </c>
      <c r="K18" s="6" t="s">
        <v>40</v>
      </c>
      <c r="L18" s="8" t="s">
        <v>40</v>
      </c>
      <c r="M18" s="32" t="s">
        <v>40</v>
      </c>
      <c r="N18" s="26">
        <f>COUNTIF(H18:M18,"p")/(COUNTIF(H18:M18,"p")+COUNTIF(H18:M18,"a"))</f>
        <v>1</v>
      </c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 t="s">
        <v>47</v>
      </c>
    </row>
    <row r="19" spans="1:28">
      <c r="A19" s="27">
        <v>18</v>
      </c>
      <c r="B19" s="28" t="s">
        <v>157</v>
      </c>
      <c r="C19" s="28"/>
      <c r="D19" s="28"/>
      <c r="E19" s="28"/>
      <c r="F19" s="28"/>
      <c r="G19" s="28"/>
      <c r="H19" s="28"/>
      <c r="I19" s="28"/>
      <c r="J19" s="28"/>
      <c r="K19" s="28"/>
      <c r="L19" s="29"/>
      <c r="M19" s="33"/>
      <c r="N19" s="30" t="e">
        <f>COUNTIF(H19:M19,"p")/(COUNTIF(H19:M19,"p")+COUNTIF(H19:M19,"a"))</f>
        <v>#DIV/0!</v>
      </c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</row>
    <row r="20" spans="1:28">
      <c r="A20" s="2"/>
      <c r="B20" s="1"/>
      <c r="C20" s="1"/>
      <c r="D20" s="1"/>
      <c r="E20" s="2"/>
      <c r="F20" s="1"/>
      <c r="G20" s="1"/>
      <c r="H20" s="1"/>
      <c r="I20" s="1"/>
      <c r="J20" s="1"/>
      <c r="K20" s="1"/>
      <c r="L20" s="1"/>
      <c r="M20" s="1"/>
      <c r="N20" s="1"/>
    </row>
  </sheetData>
  <autoFilter ref="A1:M1" xr:uid="{FBE83EA1-1362-45CF-9CB6-612D80C7267D}">
    <sortState xmlns:xlrd2="http://schemas.microsoft.com/office/spreadsheetml/2017/richdata2" ref="A2:M19">
      <sortCondition ref="E1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65118-07A6-439B-8AE1-D571E0F940C5}">
  <dimension ref="A1:AH20"/>
  <sheetViews>
    <sheetView tabSelected="1" workbookViewId="0">
      <pane ySplit="1" topLeftCell="C2" activePane="bottomLeft" state="frozen"/>
      <selection pane="bottomLeft" activeCell="N3" sqref="N3"/>
    </sheetView>
  </sheetViews>
  <sheetFormatPr defaultColWidth="11.42578125" defaultRowHeight="15"/>
  <cols>
    <col min="1" max="1" width="13.28515625" bestFit="1" customWidth="1"/>
    <col min="2" max="2" width="13.85546875" bestFit="1" customWidth="1"/>
    <col min="3" max="3" width="12" bestFit="1" customWidth="1"/>
    <col min="4" max="4" width="13" bestFit="1" customWidth="1"/>
    <col min="5" max="5" width="16.28515625" bestFit="1" customWidth="1"/>
    <col min="6" max="6" width="32.5703125" bestFit="1" customWidth="1"/>
    <col min="7" max="7" width="11.28515625" bestFit="1" customWidth="1"/>
    <col min="8" max="8" width="11.140625" bestFit="1" customWidth="1"/>
    <col min="9" max="13" width="13.5703125" bestFit="1" customWidth="1"/>
    <col min="14" max="14" width="15.140625" style="15" bestFit="1" customWidth="1"/>
    <col min="15" max="19" width="9.140625"/>
    <col min="20" max="20" width="20.42578125" bestFit="1" customWidth="1"/>
  </cols>
  <sheetData>
    <row r="1" spans="1:34" ht="53.25">
      <c r="A1" s="18"/>
      <c r="B1" s="19" t="s">
        <v>1</v>
      </c>
      <c r="C1" s="18" t="s">
        <v>2</v>
      </c>
      <c r="D1" s="19" t="s">
        <v>3</v>
      </c>
      <c r="E1" s="20" t="s">
        <v>4</v>
      </c>
      <c r="F1" s="19" t="s">
        <v>5</v>
      </c>
      <c r="G1" s="18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19" t="s">
        <v>15</v>
      </c>
      <c r="Q1" s="19" t="s">
        <v>16</v>
      </c>
      <c r="R1" s="19" t="s">
        <v>17</v>
      </c>
      <c r="S1" s="19" t="s">
        <v>18</v>
      </c>
      <c r="T1" s="19" t="s">
        <v>19</v>
      </c>
      <c r="U1" s="36" t="s">
        <v>21</v>
      </c>
      <c r="V1" s="36" t="s">
        <v>22</v>
      </c>
      <c r="W1" s="36" t="s">
        <v>23</v>
      </c>
      <c r="X1" s="36" t="s">
        <v>24</v>
      </c>
      <c r="Y1" s="36" t="s">
        <v>25</v>
      </c>
      <c r="Z1" s="36" t="s">
        <v>26</v>
      </c>
      <c r="AA1" s="36" t="s">
        <v>27</v>
      </c>
      <c r="AB1" s="36" t="s">
        <v>28</v>
      </c>
      <c r="AC1" s="36" t="s">
        <v>29</v>
      </c>
      <c r="AD1" s="36" t="s">
        <v>30</v>
      </c>
      <c r="AE1" s="36" t="s">
        <v>31</v>
      </c>
      <c r="AF1" s="36" t="s">
        <v>32</v>
      </c>
      <c r="AG1" s="36" t="s">
        <v>33</v>
      </c>
      <c r="AH1" s="36" t="s">
        <v>34</v>
      </c>
    </row>
    <row r="2" spans="1:34" ht="15" customHeight="1">
      <c r="A2" s="21">
        <v>1</v>
      </c>
      <c r="B2" s="22"/>
      <c r="C2" s="22"/>
      <c r="D2" s="22"/>
      <c r="E2" s="23"/>
      <c r="F2" s="41" t="s">
        <v>190</v>
      </c>
      <c r="G2" s="22"/>
      <c r="H2" s="22" t="s">
        <v>40</v>
      </c>
      <c r="I2" s="22" t="s">
        <v>40</v>
      </c>
      <c r="J2" s="22" t="s">
        <v>40</v>
      </c>
      <c r="K2" s="22" t="s">
        <v>40</v>
      </c>
      <c r="L2" s="22" t="s">
        <v>40</v>
      </c>
      <c r="M2" s="23" t="s">
        <v>40</v>
      </c>
      <c r="N2" s="12"/>
      <c r="O2" s="22"/>
      <c r="P2" s="22"/>
      <c r="Q2" s="22"/>
      <c r="R2" s="22"/>
      <c r="S2" s="22"/>
      <c r="T2" s="24">
        <f>COUNTIF(H2:S2,"p")/(COUNTIF(H2:S2,"p")+COUNTIF(H2:S2,"a"))</f>
        <v>1</v>
      </c>
      <c r="U2" s="24" t="s">
        <v>137</v>
      </c>
      <c r="V2" s="24"/>
      <c r="W2" s="24"/>
      <c r="X2" s="24"/>
      <c r="Y2" s="24">
        <v>0.8</v>
      </c>
      <c r="Z2" s="24"/>
      <c r="AA2" s="24">
        <v>0.6</v>
      </c>
      <c r="AB2" s="24"/>
      <c r="AC2" s="24">
        <v>0.8</v>
      </c>
      <c r="AD2" s="24"/>
      <c r="AE2" s="24">
        <v>1</v>
      </c>
      <c r="AF2" s="24"/>
      <c r="AG2" s="24"/>
      <c r="AH2" s="24" t="s">
        <v>191</v>
      </c>
    </row>
    <row r="3" spans="1:34" ht="15" customHeight="1">
      <c r="A3" s="25">
        <v>2</v>
      </c>
      <c r="B3" s="6"/>
      <c r="C3" s="6"/>
      <c r="D3" s="6"/>
      <c r="E3" s="8"/>
      <c r="F3" s="42" t="s">
        <v>192</v>
      </c>
      <c r="G3" s="6"/>
      <c r="H3" s="6" t="s">
        <v>40</v>
      </c>
      <c r="I3" s="6" t="s">
        <v>40</v>
      </c>
      <c r="J3" s="6" t="s">
        <v>40</v>
      </c>
      <c r="K3" s="6" t="s">
        <v>40</v>
      </c>
      <c r="L3" s="6" t="s">
        <v>40</v>
      </c>
      <c r="M3" s="8" t="s">
        <v>40</v>
      </c>
      <c r="N3" s="13"/>
      <c r="O3" s="6"/>
      <c r="P3" s="6"/>
      <c r="Q3" s="6"/>
      <c r="R3" s="6"/>
      <c r="S3" s="6"/>
      <c r="T3" s="26">
        <f t="shared" ref="T3:T19" si="0">COUNTIF(H3:S3,"p")/(COUNTIF(H3:S3,"p")+COUNTIF(H3:S3,"a"))</f>
        <v>1</v>
      </c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</row>
    <row r="4" spans="1:34" ht="15" customHeight="1">
      <c r="A4" s="25">
        <v>3</v>
      </c>
      <c r="B4" s="6"/>
      <c r="C4" s="6"/>
      <c r="D4" s="6"/>
      <c r="E4" s="8"/>
      <c r="F4" s="37" t="s">
        <v>193</v>
      </c>
      <c r="G4" s="6"/>
      <c r="H4" s="6"/>
      <c r="I4" s="6"/>
      <c r="J4" s="6"/>
      <c r="K4" s="6"/>
      <c r="L4" s="6"/>
      <c r="M4" s="8"/>
      <c r="N4" s="13"/>
      <c r="O4" s="6"/>
      <c r="P4" s="6"/>
      <c r="Q4" s="6"/>
      <c r="R4" s="6"/>
      <c r="S4" s="6"/>
      <c r="T4" s="26" t="e">
        <f t="shared" si="0"/>
        <v>#DIV/0!</v>
      </c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</row>
    <row r="5" spans="1:34" ht="15" customHeight="1">
      <c r="A5" s="25">
        <v>4</v>
      </c>
      <c r="B5" s="6"/>
      <c r="C5" s="6"/>
      <c r="D5" s="6"/>
      <c r="E5" s="8"/>
      <c r="F5" s="37" t="s">
        <v>194</v>
      </c>
      <c r="G5" s="6"/>
      <c r="H5" s="6"/>
      <c r="I5" s="6"/>
      <c r="J5" s="6"/>
      <c r="K5" s="6"/>
      <c r="L5" s="6"/>
      <c r="M5" s="8"/>
      <c r="N5" s="13"/>
      <c r="O5" s="6"/>
      <c r="P5" s="6"/>
      <c r="Q5" s="6"/>
      <c r="R5" s="6"/>
      <c r="S5" s="6"/>
      <c r="T5" s="26" t="e">
        <f t="shared" si="0"/>
        <v>#DIV/0!</v>
      </c>
      <c r="U5" s="24" t="s">
        <v>137</v>
      </c>
      <c r="V5" s="24"/>
      <c r="W5" s="24"/>
      <c r="X5" s="24"/>
      <c r="Y5" s="24">
        <v>1</v>
      </c>
      <c r="Z5" s="24"/>
      <c r="AA5" s="24">
        <v>1</v>
      </c>
      <c r="AB5" s="24"/>
      <c r="AC5" s="24">
        <v>1</v>
      </c>
      <c r="AD5" s="24"/>
      <c r="AE5" s="24">
        <v>0.95</v>
      </c>
      <c r="AF5" s="24"/>
      <c r="AG5" s="24"/>
      <c r="AH5" s="24"/>
    </row>
    <row r="6" spans="1:34" ht="15" customHeight="1">
      <c r="A6" s="25">
        <v>5</v>
      </c>
      <c r="B6" s="6"/>
      <c r="C6" s="6"/>
      <c r="D6" s="6"/>
      <c r="E6" s="8"/>
      <c r="F6" s="38" t="s">
        <v>195</v>
      </c>
      <c r="G6" s="6"/>
      <c r="H6" s="6"/>
      <c r="I6" s="6"/>
      <c r="J6" s="6"/>
      <c r="K6" s="6"/>
      <c r="L6" s="6"/>
      <c r="M6" s="8"/>
      <c r="N6" s="13"/>
      <c r="O6" s="6"/>
      <c r="P6" s="6"/>
      <c r="Q6" s="6"/>
      <c r="R6" s="6"/>
      <c r="S6" s="6"/>
      <c r="T6" s="26" t="e">
        <f t="shared" si="0"/>
        <v>#DIV/0!</v>
      </c>
      <c r="U6" s="24" t="s">
        <v>137</v>
      </c>
      <c r="V6" s="24"/>
      <c r="W6" s="24"/>
      <c r="X6" s="24"/>
      <c r="Y6" s="24">
        <v>0.9</v>
      </c>
      <c r="Z6" s="24"/>
      <c r="AA6" s="24">
        <v>0.85</v>
      </c>
      <c r="AB6" s="24"/>
      <c r="AC6" s="24">
        <v>1</v>
      </c>
      <c r="AD6" s="24"/>
      <c r="AE6" s="24">
        <v>0.95</v>
      </c>
      <c r="AF6" s="24"/>
      <c r="AG6" s="24"/>
      <c r="AH6" s="24"/>
    </row>
    <row r="7" spans="1:34" ht="15" customHeight="1">
      <c r="A7" s="25">
        <v>6</v>
      </c>
      <c r="B7" s="6"/>
      <c r="C7" s="6"/>
      <c r="D7" s="6"/>
      <c r="E7" s="8"/>
      <c r="F7" s="39" t="s">
        <v>196</v>
      </c>
      <c r="G7" s="6"/>
      <c r="H7" s="6"/>
      <c r="I7" s="6"/>
      <c r="J7" s="6"/>
      <c r="K7" s="6"/>
      <c r="L7" s="6"/>
      <c r="M7" s="8"/>
      <c r="N7" s="13"/>
      <c r="O7" s="6"/>
      <c r="P7" s="6"/>
      <c r="Q7" s="6"/>
      <c r="R7" s="6"/>
      <c r="S7" s="6"/>
      <c r="T7" s="26" t="e">
        <f t="shared" si="0"/>
        <v>#DIV/0!</v>
      </c>
      <c r="U7" s="24"/>
      <c r="V7" s="24"/>
      <c r="W7" s="24"/>
      <c r="X7" s="24"/>
      <c r="Y7" s="24"/>
      <c r="Z7" s="24"/>
      <c r="AA7" s="24"/>
      <c r="AB7" s="24"/>
      <c r="AC7" s="24"/>
      <c r="AD7" s="24"/>
      <c r="AE7" s="24">
        <v>0.95</v>
      </c>
      <c r="AF7" s="24"/>
      <c r="AG7" s="24"/>
      <c r="AH7" s="24"/>
    </row>
    <row r="8" spans="1:34" ht="15" customHeight="1">
      <c r="A8" s="25">
        <v>7</v>
      </c>
      <c r="B8" s="6"/>
      <c r="C8" s="6"/>
      <c r="D8" s="6"/>
      <c r="E8" s="8"/>
      <c r="F8" s="39" t="s">
        <v>197</v>
      </c>
      <c r="G8" s="6"/>
      <c r="H8" s="6"/>
      <c r="I8" s="6"/>
      <c r="J8" s="6"/>
      <c r="K8" s="6"/>
      <c r="L8" s="6"/>
      <c r="M8" s="8"/>
      <c r="N8" s="13"/>
      <c r="O8" s="6"/>
      <c r="P8" s="6"/>
      <c r="Q8" s="6"/>
      <c r="R8" s="6"/>
      <c r="S8" s="6"/>
      <c r="T8" s="26" t="e">
        <f t="shared" si="0"/>
        <v>#DIV/0!</v>
      </c>
      <c r="U8" s="24" t="s">
        <v>137</v>
      </c>
      <c r="V8" s="24"/>
      <c r="W8" s="24"/>
      <c r="X8" s="24"/>
      <c r="Y8" s="24">
        <v>0.75</v>
      </c>
      <c r="Z8" s="24"/>
      <c r="AA8" s="24">
        <v>0.75</v>
      </c>
      <c r="AB8" s="24"/>
      <c r="AC8" s="24">
        <v>0.8</v>
      </c>
      <c r="AD8" s="24"/>
      <c r="AE8" s="24">
        <v>0.97499999999999998</v>
      </c>
      <c r="AF8" s="24"/>
      <c r="AG8" s="24"/>
      <c r="AH8" s="24"/>
    </row>
    <row r="9" spans="1:34" ht="15" customHeight="1">
      <c r="A9" s="25">
        <v>8</v>
      </c>
      <c r="B9" s="6"/>
      <c r="C9" s="6"/>
      <c r="D9" s="6"/>
      <c r="E9" s="8"/>
      <c r="F9" s="39" t="s">
        <v>198</v>
      </c>
      <c r="G9" s="6"/>
      <c r="H9" s="6"/>
      <c r="I9" s="6"/>
      <c r="J9" s="6"/>
      <c r="K9" s="6"/>
      <c r="L9" s="6"/>
      <c r="M9" s="8"/>
      <c r="N9" s="13"/>
      <c r="O9" s="6"/>
      <c r="P9" s="6"/>
      <c r="Q9" s="6"/>
      <c r="R9" s="6"/>
      <c r="S9" s="6"/>
      <c r="T9" s="26" t="e">
        <f t="shared" si="0"/>
        <v>#DIV/0!</v>
      </c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</row>
    <row r="10" spans="1:34" ht="15" customHeight="1">
      <c r="A10" s="25">
        <v>9</v>
      </c>
      <c r="B10" s="6"/>
      <c r="C10" s="6"/>
      <c r="D10" s="6"/>
      <c r="E10" s="8"/>
      <c r="F10" s="39" t="s">
        <v>199</v>
      </c>
      <c r="G10" s="6"/>
      <c r="H10" s="6"/>
      <c r="I10" s="6"/>
      <c r="J10" s="6"/>
      <c r="K10" s="6"/>
      <c r="L10" s="6"/>
      <c r="M10" s="8"/>
      <c r="N10" s="13"/>
      <c r="O10" s="6"/>
      <c r="P10" s="6"/>
      <c r="Q10" s="6"/>
      <c r="R10" s="6"/>
      <c r="S10" s="6"/>
      <c r="T10" s="26" t="e">
        <f t="shared" si="0"/>
        <v>#DIV/0!</v>
      </c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</row>
    <row r="11" spans="1:34" ht="15" customHeight="1">
      <c r="A11" s="25">
        <v>10</v>
      </c>
      <c r="B11" s="6"/>
      <c r="C11" s="6"/>
      <c r="D11" s="6"/>
      <c r="E11" s="8"/>
      <c r="F11" s="39" t="s">
        <v>200</v>
      </c>
      <c r="G11" s="6"/>
      <c r="H11" s="6"/>
      <c r="I11" s="6"/>
      <c r="J11" s="6"/>
      <c r="K11" s="6"/>
      <c r="L11" s="6"/>
      <c r="M11" s="8"/>
      <c r="N11" s="13"/>
      <c r="O11" s="6"/>
      <c r="P11" s="6"/>
      <c r="Q11" s="6"/>
      <c r="R11" s="6"/>
      <c r="S11" s="6"/>
      <c r="T11" s="26" t="e">
        <f t="shared" si="0"/>
        <v>#DIV/0!</v>
      </c>
      <c r="U11" s="24" t="s">
        <v>137</v>
      </c>
      <c r="V11" s="24"/>
      <c r="W11" s="24"/>
      <c r="X11" s="24"/>
      <c r="Y11" s="24">
        <v>0.9</v>
      </c>
      <c r="Z11" s="24"/>
      <c r="AA11" s="24">
        <v>0.85</v>
      </c>
      <c r="AB11" s="24"/>
      <c r="AC11" s="24">
        <v>0.8</v>
      </c>
      <c r="AD11" s="24"/>
      <c r="AE11" s="24">
        <v>0.77500000000000002</v>
      </c>
      <c r="AF11" s="24"/>
      <c r="AG11" s="24"/>
      <c r="AH11" s="24"/>
    </row>
    <row r="12" spans="1:34" ht="15" customHeight="1">
      <c r="A12" s="25">
        <v>11</v>
      </c>
      <c r="B12" s="6"/>
      <c r="C12" s="6"/>
      <c r="D12" s="6"/>
      <c r="E12" s="8"/>
      <c r="F12" s="39" t="s">
        <v>201</v>
      </c>
      <c r="G12" s="6"/>
      <c r="H12" s="6"/>
      <c r="I12" s="6"/>
      <c r="J12" s="6"/>
      <c r="K12" s="6"/>
      <c r="L12" s="6"/>
      <c r="M12" s="8"/>
      <c r="N12" s="13"/>
      <c r="O12" s="6"/>
      <c r="P12" s="6"/>
      <c r="Q12" s="6"/>
      <c r="R12" s="6"/>
      <c r="S12" s="6"/>
      <c r="T12" s="26" t="e">
        <f t="shared" si="0"/>
        <v>#DIV/0!</v>
      </c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</row>
    <row r="13" spans="1:34" ht="15" customHeight="1">
      <c r="A13" s="25">
        <v>12</v>
      </c>
      <c r="B13" s="6"/>
      <c r="C13" s="6"/>
      <c r="D13" s="6"/>
      <c r="E13" s="8"/>
      <c r="F13" s="39" t="s">
        <v>202</v>
      </c>
      <c r="G13" s="6"/>
      <c r="H13" s="6"/>
      <c r="I13" s="6"/>
      <c r="J13" s="6"/>
      <c r="K13" s="6"/>
      <c r="L13" s="6"/>
      <c r="M13" s="8"/>
      <c r="N13" s="13"/>
      <c r="O13" s="6"/>
      <c r="P13" s="6"/>
      <c r="Q13" s="6"/>
      <c r="R13" s="6"/>
      <c r="S13" s="6"/>
      <c r="T13" s="26" t="e">
        <f t="shared" si="0"/>
        <v>#DIV/0!</v>
      </c>
      <c r="U13" s="24" t="s">
        <v>137</v>
      </c>
      <c r="V13" s="24"/>
      <c r="W13" s="24"/>
      <c r="X13" s="24"/>
      <c r="Y13" s="24">
        <v>0.85</v>
      </c>
      <c r="Z13" s="24"/>
      <c r="AA13" s="24">
        <v>0.7</v>
      </c>
      <c r="AB13" s="24"/>
      <c r="AC13" s="24">
        <v>0.8</v>
      </c>
      <c r="AD13" s="24"/>
      <c r="AE13" s="24">
        <v>0.67749999999999999</v>
      </c>
      <c r="AF13" s="24"/>
      <c r="AG13" s="24"/>
      <c r="AH13" s="24"/>
    </row>
    <row r="14" spans="1:34" ht="15" customHeight="1">
      <c r="A14" s="25">
        <v>13</v>
      </c>
      <c r="B14" s="6"/>
      <c r="C14" s="6"/>
      <c r="D14" s="6"/>
      <c r="E14" s="8"/>
      <c r="F14" s="39" t="s">
        <v>203</v>
      </c>
      <c r="G14" s="6"/>
      <c r="H14" s="6"/>
      <c r="I14" s="6"/>
      <c r="J14" s="6"/>
      <c r="K14" s="6"/>
      <c r="L14" s="6"/>
      <c r="M14" s="8"/>
      <c r="N14" s="13"/>
      <c r="O14" s="6"/>
      <c r="P14" s="6"/>
      <c r="Q14" s="6"/>
      <c r="R14" s="6"/>
      <c r="S14" s="6"/>
      <c r="T14" s="26" t="e">
        <f t="shared" si="0"/>
        <v>#DIV/0!</v>
      </c>
      <c r="U14" s="24" t="s">
        <v>137</v>
      </c>
      <c r="V14" s="24"/>
      <c r="W14" s="24"/>
      <c r="X14" s="24"/>
      <c r="Y14" s="24">
        <v>0.9</v>
      </c>
      <c r="Z14" s="24"/>
      <c r="AA14" s="24">
        <v>1</v>
      </c>
      <c r="AB14" s="24"/>
      <c r="AC14" s="24">
        <v>0.8</v>
      </c>
      <c r="AD14" s="24"/>
      <c r="AE14" s="24">
        <v>0.97499999999999998</v>
      </c>
      <c r="AF14" s="24"/>
      <c r="AG14" s="24"/>
      <c r="AH14" s="24"/>
    </row>
    <row r="15" spans="1:34" ht="15" customHeight="1">
      <c r="A15" s="25">
        <v>14</v>
      </c>
      <c r="B15" s="6"/>
      <c r="C15" s="6"/>
      <c r="D15" s="6"/>
      <c r="E15" s="8"/>
      <c r="F15" s="39" t="s">
        <v>204</v>
      </c>
      <c r="G15" s="6"/>
      <c r="H15" s="6"/>
      <c r="I15" s="6"/>
      <c r="J15" s="6"/>
      <c r="K15" s="6"/>
      <c r="L15" s="6"/>
      <c r="M15" s="8"/>
      <c r="N15" s="13"/>
      <c r="O15" s="6"/>
      <c r="P15" s="6"/>
      <c r="Q15" s="6"/>
      <c r="R15" s="6"/>
      <c r="S15" s="6"/>
      <c r="T15" s="26" t="e">
        <f t="shared" si="0"/>
        <v>#DIV/0!</v>
      </c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</row>
    <row r="16" spans="1:34" ht="15" customHeight="1">
      <c r="A16" s="25">
        <v>15</v>
      </c>
      <c r="B16" s="6"/>
      <c r="C16" s="6"/>
      <c r="D16" s="6"/>
      <c r="E16" s="8"/>
      <c r="F16" s="39" t="s">
        <v>205</v>
      </c>
      <c r="G16" s="6"/>
      <c r="H16" s="6"/>
      <c r="I16" s="6"/>
      <c r="J16" s="6"/>
      <c r="K16" s="6"/>
      <c r="L16" s="6"/>
      <c r="M16" s="8"/>
      <c r="N16" s="13"/>
      <c r="O16" s="6"/>
      <c r="P16" s="6"/>
      <c r="Q16" s="6"/>
      <c r="R16" s="6"/>
      <c r="S16" s="6"/>
      <c r="T16" s="26" t="e">
        <f t="shared" si="0"/>
        <v>#DIV/0!</v>
      </c>
      <c r="U16" s="24" t="s">
        <v>137</v>
      </c>
      <c r="V16" s="24"/>
      <c r="W16" s="24"/>
      <c r="X16" s="24"/>
      <c r="Y16" s="24">
        <v>0.85</v>
      </c>
      <c r="Z16" s="24"/>
      <c r="AA16" s="24">
        <v>0.7</v>
      </c>
      <c r="AB16" s="24"/>
      <c r="AC16" s="24">
        <v>1</v>
      </c>
      <c r="AD16" s="24"/>
      <c r="AE16" s="24"/>
      <c r="AF16" s="24"/>
      <c r="AG16" s="24"/>
      <c r="AH16" s="24"/>
    </row>
    <row r="17" spans="1:34" ht="15" customHeight="1">
      <c r="A17" s="25">
        <v>16</v>
      </c>
      <c r="B17" s="6"/>
      <c r="C17" s="6"/>
      <c r="D17" s="6"/>
      <c r="E17" s="8"/>
      <c r="F17" s="39" t="s">
        <v>206</v>
      </c>
      <c r="G17" s="6"/>
      <c r="H17" s="6"/>
      <c r="I17" s="6"/>
      <c r="J17" s="6"/>
      <c r="K17" s="6"/>
      <c r="L17" s="6"/>
      <c r="M17" s="8"/>
      <c r="N17" s="13"/>
      <c r="O17" s="6"/>
      <c r="P17" s="6"/>
      <c r="Q17" s="6"/>
      <c r="R17" s="6"/>
      <c r="S17" s="6"/>
      <c r="T17" s="26" t="e">
        <f t="shared" si="0"/>
        <v>#DIV/0!</v>
      </c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</row>
    <row r="18" spans="1:34" ht="15" customHeight="1">
      <c r="A18" s="25">
        <v>17</v>
      </c>
      <c r="B18" s="6"/>
      <c r="C18" s="6"/>
      <c r="D18" s="6"/>
      <c r="E18" s="8"/>
      <c r="F18" s="39" t="s">
        <v>207</v>
      </c>
      <c r="G18" s="6"/>
      <c r="H18" s="6"/>
      <c r="I18" s="6"/>
      <c r="J18" s="6"/>
      <c r="K18" s="6"/>
      <c r="L18" s="6"/>
      <c r="M18" s="8"/>
      <c r="N18" s="13"/>
      <c r="O18" s="6"/>
      <c r="P18" s="6"/>
      <c r="Q18" s="6"/>
      <c r="R18" s="6"/>
      <c r="S18" s="6"/>
      <c r="T18" s="26" t="e">
        <f t="shared" si="0"/>
        <v>#DIV/0!</v>
      </c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</row>
    <row r="19" spans="1:34" ht="15" customHeight="1">
      <c r="A19" s="27">
        <v>18</v>
      </c>
      <c r="B19" s="28"/>
      <c r="C19" s="28"/>
      <c r="D19" s="28"/>
      <c r="E19" s="29"/>
      <c r="F19" s="40" t="s">
        <v>208</v>
      </c>
      <c r="G19" s="28"/>
      <c r="H19" s="28"/>
      <c r="I19" s="28"/>
      <c r="J19" s="28"/>
      <c r="K19" s="28"/>
      <c r="L19" s="28"/>
      <c r="M19" s="29"/>
      <c r="N19" s="14"/>
      <c r="O19" s="28"/>
      <c r="P19" s="28"/>
      <c r="Q19" s="28"/>
      <c r="R19" s="28"/>
      <c r="S19" s="28"/>
      <c r="T19" s="30" t="e">
        <f t="shared" si="0"/>
        <v>#DIV/0!</v>
      </c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</row>
    <row r="20" spans="1:34">
      <c r="A20" s="2"/>
      <c r="B20" s="1"/>
      <c r="C20" s="1"/>
      <c r="D20" s="1"/>
      <c r="E20" s="2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</sheetData>
  <autoFilter ref="A1:AH1" xr:uid="{13801B55-47CB-4227-80B0-C9712A4FBA14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01B55-47CB-4227-80B0-C9712A4FBA14}">
  <dimension ref="A1:AH20"/>
  <sheetViews>
    <sheetView workbookViewId="0">
      <pane ySplit="1" topLeftCell="A2" activePane="bottomLeft" state="frozen"/>
      <selection pane="bottomLeft" activeCell="F2" sqref="F2:F19"/>
    </sheetView>
  </sheetViews>
  <sheetFormatPr defaultColWidth="11.42578125" defaultRowHeight="15"/>
  <cols>
    <col min="1" max="1" width="13.28515625" bestFit="1" customWidth="1"/>
    <col min="2" max="2" width="13.85546875" bestFit="1" customWidth="1"/>
    <col min="3" max="3" width="12" bestFit="1" customWidth="1"/>
    <col min="4" max="4" width="13" bestFit="1" customWidth="1"/>
    <col min="5" max="5" width="16.28515625" bestFit="1" customWidth="1"/>
    <col min="6" max="6" width="32" bestFit="1" customWidth="1"/>
    <col min="7" max="7" width="11.28515625" bestFit="1" customWidth="1"/>
    <col min="8" max="8" width="11.140625" bestFit="1" customWidth="1"/>
    <col min="9" max="13" width="13.5703125" bestFit="1" customWidth="1"/>
    <col min="14" max="14" width="15.140625" style="15" bestFit="1" customWidth="1"/>
    <col min="15" max="19" width="9.140625"/>
    <col min="20" max="20" width="20.42578125" bestFit="1" customWidth="1"/>
  </cols>
  <sheetData>
    <row r="1" spans="1:34" ht="53.25">
      <c r="A1" s="18" t="s">
        <v>0</v>
      </c>
      <c r="B1" s="19" t="s">
        <v>1</v>
      </c>
      <c r="C1" s="18" t="s">
        <v>2</v>
      </c>
      <c r="D1" s="19" t="s">
        <v>3</v>
      </c>
      <c r="E1" s="20" t="s">
        <v>4</v>
      </c>
      <c r="F1" s="19" t="s">
        <v>5</v>
      </c>
      <c r="G1" s="18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19" t="s">
        <v>15</v>
      </c>
      <c r="Q1" s="19" t="s">
        <v>16</v>
      </c>
      <c r="R1" s="19" t="s">
        <v>17</v>
      </c>
      <c r="S1" s="19" t="s">
        <v>18</v>
      </c>
      <c r="T1" s="19" t="s">
        <v>19</v>
      </c>
      <c r="U1" s="36" t="s">
        <v>21</v>
      </c>
      <c r="V1" s="36" t="s">
        <v>22</v>
      </c>
      <c r="W1" s="36" t="s">
        <v>23</v>
      </c>
      <c r="X1" s="36" t="s">
        <v>24</v>
      </c>
      <c r="Y1" s="36" t="s">
        <v>25</v>
      </c>
      <c r="Z1" s="36" t="s">
        <v>26</v>
      </c>
      <c r="AA1" s="36" t="s">
        <v>27</v>
      </c>
      <c r="AB1" s="36" t="s">
        <v>28</v>
      </c>
      <c r="AC1" s="36" t="s">
        <v>29</v>
      </c>
      <c r="AD1" s="36" t="s">
        <v>30</v>
      </c>
      <c r="AE1" s="36" t="s">
        <v>31</v>
      </c>
      <c r="AF1" s="36" t="s">
        <v>32</v>
      </c>
      <c r="AG1" s="36" t="s">
        <v>33</v>
      </c>
      <c r="AH1" s="36" t="s">
        <v>34</v>
      </c>
    </row>
    <row r="2" spans="1:34" ht="15" customHeight="1">
      <c r="A2" s="21">
        <v>1</v>
      </c>
      <c r="B2" s="22"/>
      <c r="C2" s="22"/>
      <c r="D2" s="22"/>
      <c r="E2" s="23"/>
      <c r="F2" s="41" t="s">
        <v>209</v>
      </c>
      <c r="G2" s="22"/>
      <c r="H2" s="22"/>
      <c r="I2" s="22"/>
      <c r="J2" s="22"/>
      <c r="K2" s="22"/>
      <c r="L2" s="22"/>
      <c r="M2" s="23"/>
      <c r="N2" s="12"/>
      <c r="O2" s="22"/>
      <c r="P2" s="22"/>
      <c r="Q2" s="22"/>
      <c r="R2" s="22"/>
      <c r="S2" s="22"/>
      <c r="T2" s="24" t="e">
        <f>COUNTIF(H2:S2,"p")/(COUNTIF(H2:S2,"p")+COUNTIF(H2:S2,"a"))</f>
        <v>#DIV/0!</v>
      </c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</row>
    <row r="3" spans="1:34" ht="15" customHeight="1">
      <c r="A3" s="25">
        <v>2</v>
      </c>
      <c r="B3" s="6"/>
      <c r="C3" s="6"/>
      <c r="D3" s="6"/>
      <c r="E3" s="8"/>
      <c r="F3" s="42" t="s">
        <v>210</v>
      </c>
      <c r="G3" s="6"/>
      <c r="H3" s="6"/>
      <c r="I3" s="6"/>
      <c r="J3" s="6"/>
      <c r="K3" s="6"/>
      <c r="L3" s="6"/>
      <c r="M3" s="8"/>
      <c r="N3" s="13"/>
      <c r="O3" s="6"/>
      <c r="P3" s="6"/>
      <c r="Q3" s="6"/>
      <c r="R3" s="6"/>
      <c r="S3" s="6"/>
      <c r="T3" s="26" t="e">
        <f t="shared" ref="T3:T19" si="0">COUNTIF(H3:S3,"p")/(COUNTIF(H3:S3,"p")+COUNTIF(H3:S3,"a"))</f>
        <v>#DIV/0!</v>
      </c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</row>
    <row r="4" spans="1:34" ht="15" customHeight="1">
      <c r="A4" s="25">
        <v>3</v>
      </c>
      <c r="B4" s="6"/>
      <c r="C4" s="6"/>
      <c r="D4" s="6"/>
      <c r="E4" s="8"/>
      <c r="F4" s="38" t="s">
        <v>211</v>
      </c>
      <c r="G4" s="6"/>
      <c r="H4" s="6"/>
      <c r="I4" s="6"/>
      <c r="J4" s="6"/>
      <c r="K4" s="6"/>
      <c r="L4" s="6"/>
      <c r="M4" s="8"/>
      <c r="N4" s="13"/>
      <c r="O4" s="6"/>
      <c r="P4" s="6"/>
      <c r="Q4" s="6"/>
      <c r="R4" s="6"/>
      <c r="S4" s="6"/>
      <c r="T4" s="26" t="e">
        <f t="shared" si="0"/>
        <v>#DIV/0!</v>
      </c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</row>
    <row r="5" spans="1:34" ht="15" customHeight="1">
      <c r="A5" s="25">
        <v>4</v>
      </c>
      <c r="B5" s="6"/>
      <c r="C5" s="6"/>
      <c r="D5" s="6"/>
      <c r="E5" s="8"/>
      <c r="F5" s="39" t="s">
        <v>212</v>
      </c>
      <c r="G5" s="6"/>
      <c r="H5" s="6"/>
      <c r="I5" s="6"/>
      <c r="J5" s="6"/>
      <c r="K5" s="6"/>
      <c r="L5" s="6"/>
      <c r="M5" s="8"/>
      <c r="N5" s="13"/>
      <c r="O5" s="6"/>
      <c r="P5" s="6"/>
      <c r="Q5" s="6"/>
      <c r="R5" s="6"/>
      <c r="S5" s="6"/>
      <c r="T5" s="26" t="e">
        <f t="shared" si="0"/>
        <v>#DIV/0!</v>
      </c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</row>
    <row r="6" spans="1:34" ht="15" customHeight="1">
      <c r="A6" s="25">
        <v>5</v>
      </c>
      <c r="B6" s="6"/>
      <c r="C6" s="6"/>
      <c r="D6" s="6" t="s">
        <v>213</v>
      </c>
      <c r="E6" s="8"/>
      <c r="F6" s="39" t="s">
        <v>214</v>
      </c>
      <c r="G6" s="6"/>
      <c r="H6" s="6"/>
      <c r="I6" s="6"/>
      <c r="J6" s="6"/>
      <c r="K6" s="6"/>
      <c r="L6" s="6"/>
      <c r="M6" s="8"/>
      <c r="N6" s="13"/>
      <c r="O6" s="6"/>
      <c r="P6" s="6"/>
      <c r="Q6" s="6"/>
      <c r="R6" s="6"/>
      <c r="S6" s="6"/>
      <c r="T6" s="26" t="e">
        <f t="shared" si="0"/>
        <v>#DIV/0!</v>
      </c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</row>
    <row r="7" spans="1:34" ht="15" customHeight="1">
      <c r="A7" s="25">
        <v>6</v>
      </c>
      <c r="B7" s="6"/>
      <c r="C7" s="6"/>
      <c r="D7" s="6"/>
      <c r="E7" s="8"/>
      <c r="F7" s="39" t="s">
        <v>215</v>
      </c>
      <c r="G7" s="6"/>
      <c r="H7" s="6"/>
      <c r="I7" s="6"/>
      <c r="J7" s="6"/>
      <c r="K7" s="6"/>
      <c r="L7" s="6"/>
      <c r="M7" s="8"/>
      <c r="N7" s="13"/>
      <c r="O7" s="6"/>
      <c r="P7" s="6"/>
      <c r="Q7" s="6"/>
      <c r="R7" s="6"/>
      <c r="S7" s="6"/>
      <c r="T7" s="26" t="e">
        <f t="shared" si="0"/>
        <v>#DIV/0!</v>
      </c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</row>
    <row r="8" spans="1:34" ht="15" customHeight="1">
      <c r="A8" s="25">
        <v>7</v>
      </c>
      <c r="B8" s="6"/>
      <c r="C8" s="6"/>
      <c r="D8" s="6"/>
      <c r="E8" s="8"/>
      <c r="F8" s="39" t="s">
        <v>216</v>
      </c>
      <c r="G8" s="6"/>
      <c r="H8" s="6"/>
      <c r="I8" s="6"/>
      <c r="J8" s="6"/>
      <c r="K8" s="6"/>
      <c r="L8" s="6"/>
      <c r="M8" s="8"/>
      <c r="N8" s="13"/>
      <c r="O8" s="6"/>
      <c r="P8" s="6"/>
      <c r="Q8" s="6"/>
      <c r="R8" s="6"/>
      <c r="S8" s="6"/>
      <c r="T8" s="26" t="e">
        <f t="shared" si="0"/>
        <v>#DIV/0!</v>
      </c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</row>
    <row r="9" spans="1:34" ht="15" customHeight="1">
      <c r="A9" s="25">
        <v>8</v>
      </c>
      <c r="B9" s="6"/>
      <c r="C9" s="6"/>
      <c r="D9" s="6"/>
      <c r="E9" s="8"/>
      <c r="F9" s="39" t="s">
        <v>217</v>
      </c>
      <c r="G9" s="6"/>
      <c r="H9" s="6"/>
      <c r="I9" s="6"/>
      <c r="J9" s="6"/>
      <c r="K9" s="6"/>
      <c r="L9" s="6"/>
      <c r="M9" s="8"/>
      <c r="N9" s="13"/>
      <c r="O9" s="6"/>
      <c r="P9" s="6"/>
      <c r="Q9" s="6"/>
      <c r="R9" s="6"/>
      <c r="S9" s="6"/>
      <c r="T9" s="26" t="e">
        <f t="shared" si="0"/>
        <v>#DIV/0!</v>
      </c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</row>
    <row r="10" spans="1:34" ht="15" customHeight="1">
      <c r="A10" s="25">
        <v>9</v>
      </c>
      <c r="B10" s="6"/>
      <c r="C10" s="6"/>
      <c r="D10" s="6" t="s">
        <v>218</v>
      </c>
      <c r="E10" s="8"/>
      <c r="F10" s="39" t="s">
        <v>219</v>
      </c>
      <c r="G10" s="6"/>
      <c r="H10" s="6"/>
      <c r="I10" s="6"/>
      <c r="J10" s="6"/>
      <c r="K10" s="6"/>
      <c r="L10" s="6"/>
      <c r="M10" s="8"/>
      <c r="N10" s="13"/>
      <c r="O10" s="6"/>
      <c r="P10" s="6"/>
      <c r="Q10" s="6"/>
      <c r="R10" s="6"/>
      <c r="S10" s="6"/>
      <c r="T10" s="26" t="e">
        <f t="shared" si="0"/>
        <v>#DIV/0!</v>
      </c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</row>
    <row r="11" spans="1:34" ht="15" customHeight="1">
      <c r="A11" s="25">
        <v>10</v>
      </c>
      <c r="B11" s="6"/>
      <c r="C11" s="6"/>
      <c r="D11" s="6"/>
      <c r="E11" s="8"/>
      <c r="F11" s="39" t="s">
        <v>220</v>
      </c>
      <c r="G11" s="6"/>
      <c r="H11" s="6"/>
      <c r="I11" s="6"/>
      <c r="J11" s="6"/>
      <c r="K11" s="6"/>
      <c r="L11" s="6"/>
      <c r="M11" s="8"/>
      <c r="N11" s="13"/>
      <c r="O11" s="6"/>
      <c r="P11" s="6"/>
      <c r="Q11" s="6"/>
      <c r="R11" s="6"/>
      <c r="S11" s="6"/>
      <c r="T11" s="26" t="e">
        <f t="shared" si="0"/>
        <v>#DIV/0!</v>
      </c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</row>
    <row r="12" spans="1:34" ht="15" customHeight="1">
      <c r="A12" s="25">
        <v>11</v>
      </c>
      <c r="B12" s="6"/>
      <c r="C12" s="6"/>
      <c r="D12" s="6"/>
      <c r="E12" s="8"/>
      <c r="F12" s="39" t="s">
        <v>221</v>
      </c>
      <c r="G12" s="6"/>
      <c r="H12" s="6"/>
      <c r="I12" s="6"/>
      <c r="J12" s="6"/>
      <c r="K12" s="6"/>
      <c r="L12" s="6"/>
      <c r="M12" s="8"/>
      <c r="N12" s="13"/>
      <c r="O12" s="6"/>
      <c r="P12" s="6"/>
      <c r="Q12" s="6"/>
      <c r="R12" s="6"/>
      <c r="S12" s="6"/>
      <c r="T12" s="26" t="e">
        <f t="shared" si="0"/>
        <v>#DIV/0!</v>
      </c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</row>
    <row r="13" spans="1:34" ht="15" customHeight="1">
      <c r="A13" s="25">
        <v>12</v>
      </c>
      <c r="B13" s="6"/>
      <c r="C13" s="6"/>
      <c r="D13" s="6" t="s">
        <v>218</v>
      </c>
      <c r="E13" s="8"/>
      <c r="F13" s="39" t="s">
        <v>222</v>
      </c>
      <c r="G13" s="6"/>
      <c r="H13" s="6"/>
      <c r="I13" s="6"/>
      <c r="J13" s="6"/>
      <c r="K13" s="6"/>
      <c r="L13" s="6"/>
      <c r="M13" s="8"/>
      <c r="N13" s="13"/>
      <c r="O13" s="6"/>
      <c r="P13" s="6"/>
      <c r="Q13" s="6"/>
      <c r="R13" s="6"/>
      <c r="S13" s="6"/>
      <c r="T13" s="26" t="e">
        <f t="shared" si="0"/>
        <v>#DIV/0!</v>
      </c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</row>
    <row r="14" spans="1:34" ht="15" customHeight="1">
      <c r="A14" s="25">
        <v>13</v>
      </c>
      <c r="B14" s="6"/>
      <c r="C14" s="6"/>
      <c r="D14" s="6"/>
      <c r="E14" s="8"/>
      <c r="F14" s="39" t="s">
        <v>223</v>
      </c>
      <c r="G14" s="6"/>
      <c r="H14" s="6"/>
      <c r="I14" s="6"/>
      <c r="J14" s="6"/>
      <c r="K14" s="6"/>
      <c r="L14" s="6"/>
      <c r="M14" s="8"/>
      <c r="N14" s="13"/>
      <c r="O14" s="6"/>
      <c r="P14" s="6"/>
      <c r="Q14" s="6"/>
      <c r="R14" s="6"/>
      <c r="S14" s="6"/>
      <c r="T14" s="26" t="e">
        <f t="shared" si="0"/>
        <v>#DIV/0!</v>
      </c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</row>
    <row r="15" spans="1:34" ht="15" customHeight="1">
      <c r="A15" s="25">
        <v>14</v>
      </c>
      <c r="B15" s="6"/>
      <c r="C15" s="6"/>
      <c r="D15" s="6"/>
      <c r="E15" s="8"/>
      <c r="F15" s="39" t="s">
        <v>224</v>
      </c>
      <c r="G15" s="6"/>
      <c r="H15" s="6"/>
      <c r="I15" s="6"/>
      <c r="J15" s="6"/>
      <c r="K15" s="6"/>
      <c r="L15" s="6"/>
      <c r="M15" s="8"/>
      <c r="N15" s="13"/>
      <c r="O15" s="6"/>
      <c r="P15" s="6"/>
      <c r="Q15" s="6"/>
      <c r="R15" s="6"/>
      <c r="S15" s="6"/>
      <c r="T15" s="26" t="e">
        <f t="shared" si="0"/>
        <v>#DIV/0!</v>
      </c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</row>
    <row r="16" spans="1:34" ht="15" customHeight="1">
      <c r="A16" s="25">
        <v>15</v>
      </c>
      <c r="B16" s="6"/>
      <c r="C16" s="6"/>
      <c r="D16" s="6"/>
      <c r="E16" s="8"/>
      <c r="F16" s="39" t="s">
        <v>225</v>
      </c>
      <c r="G16" s="6"/>
      <c r="H16" s="6"/>
      <c r="I16" s="6"/>
      <c r="J16" s="6"/>
      <c r="K16" s="6"/>
      <c r="L16" s="6"/>
      <c r="M16" s="8"/>
      <c r="N16" s="13"/>
      <c r="O16" s="6"/>
      <c r="P16" s="6"/>
      <c r="Q16" s="6"/>
      <c r="R16" s="6"/>
      <c r="S16" s="6"/>
      <c r="T16" s="26" t="e">
        <f t="shared" si="0"/>
        <v>#DIV/0!</v>
      </c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</row>
    <row r="17" spans="1:34" ht="15" customHeight="1">
      <c r="A17" s="25">
        <v>16</v>
      </c>
      <c r="B17" s="6"/>
      <c r="C17" s="6"/>
      <c r="D17" s="6"/>
      <c r="E17" s="8"/>
      <c r="F17" s="39" t="s">
        <v>226</v>
      </c>
      <c r="G17" s="6"/>
      <c r="H17" s="6"/>
      <c r="I17" s="6"/>
      <c r="J17" s="6"/>
      <c r="K17" s="6"/>
      <c r="L17" s="6"/>
      <c r="M17" s="8"/>
      <c r="N17" s="13"/>
      <c r="O17" s="6"/>
      <c r="P17" s="6"/>
      <c r="Q17" s="6"/>
      <c r="R17" s="6"/>
      <c r="S17" s="6"/>
      <c r="T17" s="26" t="e">
        <f t="shared" si="0"/>
        <v>#DIV/0!</v>
      </c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</row>
    <row r="18" spans="1:34" ht="15" customHeight="1">
      <c r="A18" s="25">
        <v>17</v>
      </c>
      <c r="B18" s="6"/>
      <c r="C18" s="6"/>
      <c r="D18" s="6" t="s">
        <v>218</v>
      </c>
      <c r="E18" s="8"/>
      <c r="F18" s="39" t="s">
        <v>227</v>
      </c>
      <c r="G18" s="6"/>
      <c r="H18" s="6"/>
      <c r="I18" s="6"/>
      <c r="J18" s="6"/>
      <c r="K18" s="6"/>
      <c r="L18" s="6"/>
      <c r="M18" s="8"/>
      <c r="N18" s="13"/>
      <c r="O18" s="6"/>
      <c r="P18" s="6"/>
      <c r="Q18" s="6"/>
      <c r="R18" s="6"/>
      <c r="S18" s="6"/>
      <c r="T18" s="26" t="e">
        <f t="shared" si="0"/>
        <v>#DIV/0!</v>
      </c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</row>
    <row r="19" spans="1:34" ht="15" customHeight="1">
      <c r="A19" s="27">
        <v>18</v>
      </c>
      <c r="B19" s="28"/>
      <c r="C19" s="28"/>
      <c r="D19" s="28"/>
      <c r="E19" s="29"/>
      <c r="F19" s="40" t="s">
        <v>228</v>
      </c>
      <c r="G19" s="28"/>
      <c r="H19" s="28"/>
      <c r="I19" s="28"/>
      <c r="J19" s="28"/>
      <c r="K19" s="28"/>
      <c r="L19" s="28"/>
      <c r="M19" s="29"/>
      <c r="N19" s="14"/>
      <c r="O19" s="28"/>
      <c r="P19" s="28"/>
      <c r="Q19" s="28"/>
      <c r="R19" s="28"/>
      <c r="S19" s="28"/>
      <c r="T19" s="30" t="e">
        <f t="shared" si="0"/>
        <v>#DIV/0!</v>
      </c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</row>
    <row r="20" spans="1:34">
      <c r="A20" s="2"/>
      <c r="B20" s="1"/>
      <c r="C20" s="1"/>
      <c r="D20" s="1"/>
      <c r="E20" s="2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</sheetData>
  <autoFilter ref="A1:AH1" xr:uid="{13801B55-47CB-4227-80B0-C9712A4FBA14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83EA1-1362-45CF-9CB6-612D80C7267D}">
  <dimension ref="A1:AH20"/>
  <sheetViews>
    <sheetView workbookViewId="0">
      <pane ySplit="1" topLeftCell="A2" activePane="bottomLeft" state="frozen"/>
      <selection pane="bottomLeft" activeCell="AH1" sqref="AH1"/>
    </sheetView>
  </sheetViews>
  <sheetFormatPr defaultColWidth="11.42578125" defaultRowHeight="15"/>
  <cols>
    <col min="1" max="1" width="13.28515625" bestFit="1" customWidth="1"/>
    <col min="2" max="2" width="13.85546875" bestFit="1" customWidth="1"/>
    <col min="3" max="3" width="12" bestFit="1" customWidth="1"/>
    <col min="4" max="4" width="13" bestFit="1" customWidth="1"/>
    <col min="5" max="5" width="16.28515625" bestFit="1" customWidth="1"/>
    <col min="6" max="6" width="15.28515625" bestFit="1" customWidth="1"/>
    <col min="7" max="7" width="11.28515625" bestFit="1" customWidth="1"/>
    <col min="8" max="8" width="11.140625" bestFit="1" customWidth="1"/>
    <col min="9" max="13" width="13.5703125" bestFit="1" customWidth="1"/>
    <col min="14" max="14" width="15.140625" style="15" bestFit="1" customWidth="1"/>
    <col min="20" max="20" width="20.42578125" bestFit="1" customWidth="1"/>
  </cols>
  <sheetData>
    <row r="1" spans="1:34" ht="53.25">
      <c r="A1" s="18" t="s">
        <v>0</v>
      </c>
      <c r="B1" s="19" t="s">
        <v>1</v>
      </c>
      <c r="C1" s="18" t="s">
        <v>2</v>
      </c>
      <c r="D1" s="19" t="s">
        <v>3</v>
      </c>
      <c r="E1" s="20" t="s">
        <v>4</v>
      </c>
      <c r="F1" s="19" t="s">
        <v>5</v>
      </c>
      <c r="G1" s="18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19" t="s">
        <v>15</v>
      </c>
      <c r="Q1" s="19" t="s">
        <v>16</v>
      </c>
      <c r="R1" s="19" t="s">
        <v>17</v>
      </c>
      <c r="S1" s="19" t="s">
        <v>18</v>
      </c>
      <c r="T1" s="19" t="s">
        <v>19</v>
      </c>
      <c r="U1" s="36" t="s">
        <v>21</v>
      </c>
      <c r="V1" s="36" t="s">
        <v>22</v>
      </c>
      <c r="W1" s="36" t="s">
        <v>23</v>
      </c>
      <c r="X1" s="36" t="s">
        <v>24</v>
      </c>
      <c r="Y1" s="36" t="s">
        <v>25</v>
      </c>
      <c r="Z1" s="36" t="s">
        <v>26</v>
      </c>
      <c r="AA1" s="36" t="s">
        <v>27</v>
      </c>
      <c r="AB1" s="36" t="s">
        <v>28</v>
      </c>
      <c r="AC1" s="36" t="s">
        <v>29</v>
      </c>
      <c r="AD1" s="36" t="s">
        <v>30</v>
      </c>
      <c r="AE1" s="36" t="s">
        <v>31</v>
      </c>
      <c r="AF1" s="36" t="s">
        <v>32</v>
      </c>
      <c r="AG1" s="36" t="s">
        <v>33</v>
      </c>
      <c r="AH1" s="36" t="s">
        <v>34</v>
      </c>
    </row>
    <row r="2" spans="1:34">
      <c r="A2" s="21">
        <v>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3"/>
      <c r="N2" s="12"/>
      <c r="O2" s="22"/>
      <c r="P2" s="22"/>
      <c r="Q2" s="22"/>
      <c r="R2" s="22"/>
      <c r="S2" s="22"/>
      <c r="T2" s="24" t="e">
        <f>COUNTIF(H2:S2,"p")/(COUNTIF(H2:S2,"p")+COUNTIF(H2:S2,"a"))</f>
        <v>#DIV/0!</v>
      </c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</row>
    <row r="3" spans="1:34">
      <c r="A3" s="25">
        <v>2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8"/>
      <c r="N3" s="13"/>
      <c r="O3" s="6"/>
      <c r="P3" s="6"/>
      <c r="Q3" s="6"/>
      <c r="R3" s="6"/>
      <c r="S3" s="6"/>
      <c r="T3" s="26" t="e">
        <f t="shared" ref="T3:T19" si="0">COUNTIF(H3:S3,"p")/(COUNTIF(H3:S3,"p")+COUNTIF(H3:S3,"a"))</f>
        <v>#DIV/0!</v>
      </c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</row>
    <row r="4" spans="1:34">
      <c r="A4" s="25">
        <v>3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8"/>
      <c r="N4" s="13"/>
      <c r="O4" s="6"/>
      <c r="P4" s="6"/>
      <c r="Q4" s="6"/>
      <c r="R4" s="6"/>
      <c r="S4" s="6"/>
      <c r="T4" s="26" t="e">
        <f t="shared" si="0"/>
        <v>#DIV/0!</v>
      </c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</row>
    <row r="5" spans="1:34">
      <c r="A5" s="25">
        <v>4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8"/>
      <c r="N5" s="13"/>
      <c r="O5" s="6"/>
      <c r="P5" s="6"/>
      <c r="Q5" s="6"/>
      <c r="R5" s="6"/>
      <c r="S5" s="6"/>
      <c r="T5" s="26" t="e">
        <f t="shared" si="0"/>
        <v>#DIV/0!</v>
      </c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</row>
    <row r="6" spans="1:34">
      <c r="A6" s="25">
        <v>5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8"/>
      <c r="N6" s="13"/>
      <c r="O6" s="6"/>
      <c r="P6" s="6"/>
      <c r="Q6" s="6"/>
      <c r="R6" s="6"/>
      <c r="S6" s="6"/>
      <c r="T6" s="26" t="e">
        <f t="shared" si="0"/>
        <v>#DIV/0!</v>
      </c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</row>
    <row r="7" spans="1:34">
      <c r="A7" s="25">
        <v>6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8"/>
      <c r="N7" s="13"/>
      <c r="O7" s="6"/>
      <c r="P7" s="6"/>
      <c r="Q7" s="6"/>
      <c r="R7" s="6"/>
      <c r="S7" s="6"/>
      <c r="T7" s="26" t="e">
        <f t="shared" si="0"/>
        <v>#DIV/0!</v>
      </c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</row>
    <row r="8" spans="1:34">
      <c r="A8" s="25">
        <v>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8"/>
      <c r="N8" s="13"/>
      <c r="O8" s="6"/>
      <c r="P8" s="6"/>
      <c r="Q8" s="6"/>
      <c r="R8" s="6"/>
      <c r="S8" s="6"/>
      <c r="T8" s="26" t="e">
        <f t="shared" si="0"/>
        <v>#DIV/0!</v>
      </c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</row>
    <row r="9" spans="1:34">
      <c r="A9" s="25">
        <v>8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8"/>
      <c r="N9" s="13"/>
      <c r="O9" s="6"/>
      <c r="P9" s="6"/>
      <c r="Q9" s="6"/>
      <c r="R9" s="6"/>
      <c r="S9" s="6"/>
      <c r="T9" s="26" t="e">
        <f t="shared" si="0"/>
        <v>#DIV/0!</v>
      </c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</row>
    <row r="10" spans="1:34">
      <c r="A10" s="25">
        <v>9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8"/>
      <c r="N10" s="13"/>
      <c r="O10" s="6"/>
      <c r="P10" s="6"/>
      <c r="Q10" s="6"/>
      <c r="R10" s="6"/>
      <c r="S10" s="6"/>
      <c r="T10" s="26" t="e">
        <f t="shared" si="0"/>
        <v>#DIV/0!</v>
      </c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</row>
    <row r="11" spans="1:34">
      <c r="A11" s="25">
        <v>10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8"/>
      <c r="N11" s="13"/>
      <c r="O11" s="6"/>
      <c r="P11" s="6"/>
      <c r="Q11" s="6"/>
      <c r="R11" s="6"/>
      <c r="S11" s="6"/>
      <c r="T11" s="26" t="e">
        <f t="shared" si="0"/>
        <v>#DIV/0!</v>
      </c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</row>
    <row r="12" spans="1:34">
      <c r="A12" s="25">
        <v>11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8"/>
      <c r="N12" s="13"/>
      <c r="O12" s="6"/>
      <c r="P12" s="6"/>
      <c r="Q12" s="6"/>
      <c r="R12" s="6"/>
      <c r="S12" s="6"/>
      <c r="T12" s="26" t="e">
        <f t="shared" si="0"/>
        <v>#DIV/0!</v>
      </c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</row>
    <row r="13" spans="1:34">
      <c r="A13" s="25">
        <v>12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8"/>
      <c r="N13" s="13"/>
      <c r="O13" s="6"/>
      <c r="P13" s="6"/>
      <c r="Q13" s="6"/>
      <c r="R13" s="6"/>
      <c r="S13" s="6"/>
      <c r="T13" s="26" t="e">
        <f t="shared" si="0"/>
        <v>#DIV/0!</v>
      </c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</row>
    <row r="14" spans="1:34">
      <c r="A14" s="25">
        <v>13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8"/>
      <c r="N14" s="13"/>
      <c r="O14" s="6"/>
      <c r="P14" s="6"/>
      <c r="Q14" s="6"/>
      <c r="R14" s="6"/>
      <c r="S14" s="6"/>
      <c r="T14" s="26" t="e">
        <f t="shared" si="0"/>
        <v>#DIV/0!</v>
      </c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</row>
    <row r="15" spans="1:34">
      <c r="A15" s="25">
        <v>14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8"/>
      <c r="N15" s="13"/>
      <c r="O15" s="6"/>
      <c r="P15" s="6"/>
      <c r="Q15" s="6"/>
      <c r="R15" s="6"/>
      <c r="S15" s="6"/>
      <c r="T15" s="26" t="e">
        <f t="shared" si="0"/>
        <v>#DIV/0!</v>
      </c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</row>
    <row r="16" spans="1:34">
      <c r="A16" s="25">
        <v>15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8"/>
      <c r="N16" s="13"/>
      <c r="O16" s="6"/>
      <c r="P16" s="6"/>
      <c r="Q16" s="6"/>
      <c r="R16" s="6"/>
      <c r="S16" s="6"/>
      <c r="T16" s="26" t="e">
        <f t="shared" si="0"/>
        <v>#DIV/0!</v>
      </c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</row>
    <row r="17" spans="1:34">
      <c r="A17" s="25">
        <v>16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8"/>
      <c r="N17" s="13"/>
      <c r="O17" s="6"/>
      <c r="P17" s="6"/>
      <c r="Q17" s="6"/>
      <c r="R17" s="6"/>
      <c r="S17" s="6"/>
      <c r="T17" s="26" t="e">
        <f t="shared" si="0"/>
        <v>#DIV/0!</v>
      </c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</row>
    <row r="18" spans="1:34">
      <c r="A18" s="25">
        <v>17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8"/>
      <c r="N18" s="13"/>
      <c r="O18" s="6"/>
      <c r="P18" s="6"/>
      <c r="Q18" s="6"/>
      <c r="R18" s="6"/>
      <c r="S18" s="6"/>
      <c r="T18" s="26" t="e">
        <f t="shared" si="0"/>
        <v>#DIV/0!</v>
      </c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</row>
    <row r="19" spans="1:34">
      <c r="A19" s="27">
        <v>18</v>
      </c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9"/>
      <c r="N19" s="14"/>
      <c r="O19" s="28"/>
      <c r="P19" s="28"/>
      <c r="Q19" s="28"/>
      <c r="R19" s="28"/>
      <c r="S19" s="28"/>
      <c r="T19" s="30" t="e">
        <f t="shared" si="0"/>
        <v>#DIV/0!</v>
      </c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</row>
    <row r="20" spans="1:34">
      <c r="A20" s="2"/>
      <c r="B20" s="1"/>
      <c r="C20" s="1"/>
      <c r="D20" s="1"/>
      <c r="E20" s="2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</sheetData>
  <autoFilter ref="B1:AH1" xr:uid="{FBE83EA1-1362-45CF-9CB6-612D80C7267D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DE5DA-4811-454C-B986-063CDA01C51E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mariana gomez</dc:creator>
  <cp:keywords/>
  <dc:description/>
  <cp:lastModifiedBy/>
  <cp:revision/>
  <dcterms:created xsi:type="dcterms:W3CDTF">2026-04-24T22:58:06Z</dcterms:created>
  <dcterms:modified xsi:type="dcterms:W3CDTF">2026-07-16T12:20:46Z</dcterms:modified>
  <cp:category/>
  <cp:contentStatus/>
</cp:coreProperties>
</file>